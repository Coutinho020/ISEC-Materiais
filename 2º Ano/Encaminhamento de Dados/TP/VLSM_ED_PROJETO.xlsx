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538c10dffdc7a7/Ambiente de Trabalho/"/>
    </mc:Choice>
  </mc:AlternateContent>
  <xr:revisionPtr revIDLastSave="2" documentId="14_{74912790-7113-43DF-A71B-228330B8E26B}" xr6:coauthVersionLast="47" xr6:coauthVersionMax="47" xr10:uidLastSave="{1F55B277-63FC-4F97-B7E5-7CA748A4E5FF}"/>
  <bookViews>
    <workbookView xWindow="-108" yWindow="-108" windowWidth="23256" windowHeight="12456" activeTab="1" xr2:uid="{D128FC9F-EE31-44B1-9FD8-7FEFE68BE3F8}"/>
  </bookViews>
  <sheets>
    <sheet name="VLSM" sheetId="1" r:id="rId1"/>
    <sheet name="Sheet4" sheetId="12" r:id="rId2"/>
    <sheet name="Endereços privados" sheetId="2" r:id="rId3"/>
    <sheet name="Administração" sheetId="3" r:id="rId4"/>
    <sheet name="Sheet1" sheetId="9" r:id="rId5"/>
    <sheet name="Fabricação" sheetId="4" r:id="rId6"/>
    <sheet name="Sheet3" sheetId="11" r:id="rId7"/>
    <sheet name="Laboratório" sheetId="5" r:id="rId8"/>
    <sheet name="Expedição" sheetId="6" r:id="rId9"/>
    <sheet name="Consumíveis" sheetId="7" r:id="rId10"/>
    <sheet name="Resíduos" sheetId="8" r:id="rId11"/>
    <sheet name="Filiais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" i="1" l="1"/>
  <c r="L15" i="1" s="1"/>
  <c r="L16" i="1" s="1"/>
  <c r="L17" i="1" s="1"/>
  <c r="K14" i="1"/>
  <c r="K15" i="1" s="1"/>
  <c r="K16" i="1" s="1"/>
  <c r="K17" i="1" s="1"/>
  <c r="K18" i="1" s="1"/>
  <c r="K19" i="1" s="1"/>
  <c r="K20" i="1" s="1"/>
  <c r="K21" i="1" s="1"/>
  <c r="J14" i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I14" i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</calcChain>
</file>

<file path=xl/sharedStrings.xml><?xml version="1.0" encoding="utf-8"?>
<sst xmlns="http://schemas.openxmlformats.org/spreadsheetml/2006/main" count="902" uniqueCount="467">
  <si>
    <t>ID</t>
  </si>
  <si>
    <t>Máscara</t>
  </si>
  <si>
    <t>Rede</t>
  </si>
  <si>
    <t>Primeiro Endereço</t>
  </si>
  <si>
    <t>Último Endereço</t>
  </si>
  <si>
    <t>Endereço Broadcast</t>
  </si>
  <si>
    <t>255.255.255.248</t>
  </si>
  <si>
    <t>255.255.255.240</t>
  </si>
  <si>
    <t>Máscara e /</t>
  </si>
  <si>
    <t>/24</t>
  </si>
  <si>
    <t>/25</t>
  </si>
  <si>
    <t>/26</t>
  </si>
  <si>
    <t>/27</t>
  </si>
  <si>
    <t>/28</t>
  </si>
  <si>
    <t>/29</t>
  </si>
  <si>
    <t>/30</t>
  </si>
  <si>
    <t>/31</t>
  </si>
  <si>
    <t>Administração - 1</t>
  </si>
  <si>
    <t>Administração - 2</t>
  </si>
  <si>
    <t>Administração - 3</t>
  </si>
  <si>
    <t>Administração - 4</t>
  </si>
  <si>
    <t>Administração - 5</t>
  </si>
  <si>
    <t>Administração - 6</t>
  </si>
  <si>
    <t>Administração - 7</t>
  </si>
  <si>
    <t>Administração - 8</t>
  </si>
  <si>
    <t>Administração - 9</t>
  </si>
  <si>
    <t>Administração - 10</t>
  </si>
  <si>
    <t>Fabricação - 1</t>
  </si>
  <si>
    <t>Fabricação - 2</t>
  </si>
  <si>
    <t>Fabricação - 3</t>
  </si>
  <si>
    <t>Fabricação - 4</t>
  </si>
  <si>
    <t>Fabricação - 5</t>
  </si>
  <si>
    <t>Fabricação - 6</t>
  </si>
  <si>
    <t>Fabricação - 7</t>
  </si>
  <si>
    <t>Fabricação - 8</t>
  </si>
  <si>
    <t>Fabricação - 9</t>
  </si>
  <si>
    <t>Fabricação - 10</t>
  </si>
  <si>
    <t>Consumíveis - 1</t>
  </si>
  <si>
    <t>Consumíveis - 2</t>
  </si>
  <si>
    <t>Consumíveis - 3</t>
  </si>
  <si>
    <t>Consumíveis - 4</t>
  </si>
  <si>
    <t>Consumíveis - 5</t>
  </si>
  <si>
    <t>Consumíveis - 6</t>
  </si>
  <si>
    <t>Consumíveis - 7</t>
  </si>
  <si>
    <t>Consumíveis - 8</t>
  </si>
  <si>
    <t>Consumíveis - 9</t>
  </si>
  <si>
    <t>Consumíveis - 10</t>
  </si>
  <si>
    <t>Resíduos -  1</t>
  </si>
  <si>
    <t>Resíduos - 2</t>
  </si>
  <si>
    <t>Resíduos - 3</t>
  </si>
  <si>
    <t>Resíduos - 4</t>
  </si>
  <si>
    <t>Resíduos - 5</t>
  </si>
  <si>
    <t>Resíduos - 6</t>
  </si>
  <si>
    <t>Resíduos - 7</t>
  </si>
  <si>
    <t>Resíduos - 8</t>
  </si>
  <si>
    <t>Resíduos - 9</t>
  </si>
  <si>
    <t>Resíduos - 10</t>
  </si>
  <si>
    <t>Laboratório - 1</t>
  </si>
  <si>
    <t>Laboratório - 2</t>
  </si>
  <si>
    <t>Laboratório - 3</t>
  </si>
  <si>
    <t>Laboratório - 4</t>
  </si>
  <si>
    <t>Laboratório - 5</t>
  </si>
  <si>
    <t>Laboratório - 6</t>
  </si>
  <si>
    <t>Laboratório - 7</t>
  </si>
  <si>
    <t>Laboratório - 8</t>
  </si>
  <si>
    <t>Laboratório - 9</t>
  </si>
  <si>
    <t>Laboratório - 10</t>
  </si>
  <si>
    <t>Expedição - 1</t>
  </si>
  <si>
    <t>Expedição - 2</t>
  </si>
  <si>
    <t>Expedição - 3</t>
  </si>
  <si>
    <t>Expedição - 4</t>
  </si>
  <si>
    <t>Expedição - 5</t>
  </si>
  <si>
    <t>Expedição - 6</t>
  </si>
  <si>
    <t>Expedição - 7</t>
  </si>
  <si>
    <t>Expedição - 8</t>
  </si>
  <si>
    <t>Expedição - 9</t>
  </si>
  <si>
    <t>Expedição - 10</t>
  </si>
  <si>
    <t>194.65.48.0</t>
  </si>
  <si>
    <t>194.65.48.14</t>
  </si>
  <si>
    <t>194.65.48.1</t>
  </si>
  <si>
    <t>194.65.48.16</t>
  </si>
  <si>
    <t>194.65.48.32</t>
  </si>
  <si>
    <t>194.65.48.48</t>
  </si>
  <si>
    <t>194.65.48.64</t>
  </si>
  <si>
    <t>194.65.48.80</t>
  </si>
  <si>
    <t>194.65.48.96</t>
  </si>
  <si>
    <t>194.65.48.112</t>
  </si>
  <si>
    <t>194.65.48.128</t>
  </si>
  <si>
    <t>194.65.48.144</t>
  </si>
  <si>
    <t>192.65.48.159</t>
  </si>
  <si>
    <t>192.65.48.145</t>
  </si>
  <si>
    <t>192.65.48.158</t>
  </si>
  <si>
    <t>194.65.48.63</t>
  </si>
  <si>
    <t>194.65.48.62</t>
  </si>
  <si>
    <t>194.65.48.49</t>
  </si>
  <si>
    <t>194.65.48.17</t>
  </si>
  <si>
    <t>194.65.48.15</t>
  </si>
  <si>
    <t>194.65.48.30</t>
  </si>
  <si>
    <t>194.65.48.31</t>
  </si>
  <si>
    <t>194.65.48.33</t>
  </si>
  <si>
    <t>194.65.48.65</t>
  </si>
  <si>
    <t>194.65.48.81</t>
  </si>
  <si>
    <t>194.65.48.97</t>
  </si>
  <si>
    <t>194.65.48.113</t>
  </si>
  <si>
    <t>194.65.48.129</t>
  </si>
  <si>
    <t>194.65.48.46</t>
  </si>
  <si>
    <t>194.65.48.47</t>
  </si>
  <si>
    <t>194.65.48.78</t>
  </si>
  <si>
    <t>194.65.48.79</t>
  </si>
  <si>
    <t>194.65.48.94</t>
  </si>
  <si>
    <t>194.65.48.95</t>
  </si>
  <si>
    <t>194.65.48.110</t>
  </si>
  <si>
    <t>194.65.48.111</t>
  </si>
  <si>
    <t>194.65.48.126</t>
  </si>
  <si>
    <t>194.65.48.127</t>
  </si>
  <si>
    <t>194.65.48.142</t>
  </si>
  <si>
    <t>194.65.48.143</t>
  </si>
  <si>
    <t>194.65.48.160</t>
  </si>
  <si>
    <t>194.65.48.161</t>
  </si>
  <si>
    <t>194.65.48.174</t>
  </si>
  <si>
    <t>194.65.48.175</t>
  </si>
  <si>
    <t>194.65.48.176</t>
  </si>
  <si>
    <t>194.65.48.177</t>
  </si>
  <si>
    <t>194.65.48.192</t>
  </si>
  <si>
    <t>194.65.48.208</t>
  </si>
  <si>
    <t>194.65.48.224</t>
  </si>
  <si>
    <t>194.65.48.240</t>
  </si>
  <si>
    <t>194.65.48.168</t>
  </si>
  <si>
    <t>194.65.48.184</t>
  </si>
  <si>
    <t>194.65.48.200</t>
  </si>
  <si>
    <t>194.65.48.216</t>
  </si>
  <si>
    <t>194.65.48.232</t>
  </si>
  <si>
    <t>194.65.48.239</t>
  </si>
  <si>
    <t>194.65.48.238</t>
  </si>
  <si>
    <t>194.65.48.233</t>
  </si>
  <si>
    <t>194.65.48.166</t>
  </si>
  <si>
    <t>194.65.48.167</t>
  </si>
  <si>
    <t>194.65.48.169</t>
  </si>
  <si>
    <t>194.65.48.185</t>
  </si>
  <si>
    <t>194.65.48.193</t>
  </si>
  <si>
    <t>194.65.48.201</t>
  </si>
  <si>
    <t>194.65.48.217</t>
  </si>
  <si>
    <t>194.65.48.225</t>
  </si>
  <si>
    <t>194.65.48.182</t>
  </si>
  <si>
    <t>194.65.48.183</t>
  </si>
  <si>
    <t>194.65.48.190</t>
  </si>
  <si>
    <t>194.65.48.191</t>
  </si>
  <si>
    <t>194.65.48.198</t>
  </si>
  <si>
    <t>194.65.48.199</t>
  </si>
  <si>
    <t>194.65.48.206</t>
  </si>
  <si>
    <t>194.65.48.207</t>
  </si>
  <si>
    <t>194.65.48.214</t>
  </si>
  <si>
    <t>194.65.48.215</t>
  </si>
  <si>
    <t>194.65.48.222</t>
  </si>
  <si>
    <t>194.65.48.223</t>
  </si>
  <si>
    <t>194.65.48.230</t>
  </si>
  <si>
    <t>194.65.48.231</t>
  </si>
  <si>
    <t>194.65.48.241</t>
  </si>
  <si>
    <t>194.65.48.246</t>
  </si>
  <si>
    <t>194.65.48.247</t>
  </si>
  <si>
    <t>194.65.48.248</t>
  </si>
  <si>
    <t>194.65.48.249</t>
  </si>
  <si>
    <t>194.65.48.254</t>
  </si>
  <si>
    <t>194.65.48.255</t>
  </si>
  <si>
    <t>194.65.49.0</t>
  </si>
  <si>
    <t>194.65.49.1</t>
  </si>
  <si>
    <t>194.65.49.6</t>
  </si>
  <si>
    <t>194.65.49.7</t>
  </si>
  <si>
    <t>194.65.49.8</t>
  </si>
  <si>
    <t>194.65.49.16</t>
  </si>
  <si>
    <t>194.65.49.24</t>
  </si>
  <si>
    <t>194.65.49.32</t>
  </si>
  <si>
    <t>194.65.49.48</t>
  </si>
  <si>
    <t>194.65.49.56</t>
  </si>
  <si>
    <t>194.65.49.64</t>
  </si>
  <si>
    <t>194.65.49.9</t>
  </si>
  <si>
    <t>194.65.49.17</t>
  </si>
  <si>
    <t>194.65.49.25</t>
  </si>
  <si>
    <t>194.65.49.33</t>
  </si>
  <si>
    <t>194.65.49.49</t>
  </si>
  <si>
    <t>194.65.49.57</t>
  </si>
  <si>
    <t>194.65.49.65</t>
  </si>
  <si>
    <t>194.65.49.14</t>
  </si>
  <si>
    <t>194.65.49.15</t>
  </si>
  <si>
    <t>194.65.49.22</t>
  </si>
  <si>
    <t>194.65.49.23</t>
  </si>
  <si>
    <t>194.65.49.30</t>
  </si>
  <si>
    <t>194.65.49.31</t>
  </si>
  <si>
    <t>194.65.49.38</t>
  </si>
  <si>
    <t>194.65.49.39</t>
  </si>
  <si>
    <t>194.65.49.46</t>
  </si>
  <si>
    <t>194.65.49.47</t>
  </si>
  <si>
    <t>194.65.49.54</t>
  </si>
  <si>
    <t>194.65.49.55</t>
  </si>
  <si>
    <t>194.65.49.62</t>
  </si>
  <si>
    <t>194.65.49.63</t>
  </si>
  <si>
    <t>194.65.49.40</t>
  </si>
  <si>
    <t>194.65.49.41</t>
  </si>
  <si>
    <t>194.65.49.70</t>
  </si>
  <si>
    <t>194.65.49.71</t>
  </si>
  <si>
    <t>194.65.49.72</t>
  </si>
  <si>
    <t>194.65.49.73</t>
  </si>
  <si>
    <t>194.65.49.80</t>
  </si>
  <si>
    <t>194.65.49.81</t>
  </si>
  <si>
    <t>194.65.49.88</t>
  </si>
  <si>
    <t>194.65.49.89</t>
  </si>
  <si>
    <t>194.65.49.96</t>
  </si>
  <si>
    <t>194.65.49.97</t>
  </si>
  <si>
    <t>194.65.49.104</t>
  </si>
  <si>
    <t>194.65.49.105</t>
  </si>
  <si>
    <t>194.65.49.112</t>
  </si>
  <si>
    <t>194.65.49.113</t>
  </si>
  <si>
    <t>194.65.49.120</t>
  </si>
  <si>
    <t>194.65.49.121</t>
  </si>
  <si>
    <t>194.65.49.128</t>
  </si>
  <si>
    <t>194.65.49.129</t>
  </si>
  <si>
    <t>194.65.49.136</t>
  </si>
  <si>
    <t>194.65.49.137</t>
  </si>
  <si>
    <t>194.65.49.78</t>
  </si>
  <si>
    <t>194.65.49.79</t>
  </si>
  <si>
    <t>194.65.49.86</t>
  </si>
  <si>
    <t>194.65.49.67</t>
  </si>
  <si>
    <t>194.65.49.94</t>
  </si>
  <si>
    <t>194.65.49.95</t>
  </si>
  <si>
    <t>194.65.49.102</t>
  </si>
  <si>
    <t>194.65.49.103</t>
  </si>
  <si>
    <t>194.65.49.110</t>
  </si>
  <si>
    <t>194.65.49.111</t>
  </si>
  <si>
    <t>194.65.49.118</t>
  </si>
  <si>
    <t>194.65.49.119</t>
  </si>
  <si>
    <t>194.65.49.126</t>
  </si>
  <si>
    <t>194.65.49.127</t>
  </si>
  <si>
    <t>194.65.49.134</t>
  </si>
  <si>
    <t>194.65.49.135</t>
  </si>
  <si>
    <t>194.65.49.142</t>
  </si>
  <si>
    <t>194.65.49.143</t>
  </si>
  <si>
    <t>194.65.49.144</t>
  </si>
  <si>
    <t>194.65.49.145</t>
  </si>
  <si>
    <t>194.65.49.150</t>
  </si>
  <si>
    <t>194.65.49.151</t>
  </si>
  <si>
    <t>194.65.49.152</t>
  </si>
  <si>
    <t>194.65.49.153</t>
  </si>
  <si>
    <t>194.65.49.160</t>
  </si>
  <si>
    <t>194.65.49.161</t>
  </si>
  <si>
    <t>194.65.49.168</t>
  </si>
  <si>
    <t>194.65.49.176</t>
  </si>
  <si>
    <t>194.65.49.169</t>
  </si>
  <si>
    <t>194.65.49.177</t>
  </si>
  <si>
    <t>194.65.49.184</t>
  </si>
  <si>
    <t>194.65.49.185</t>
  </si>
  <si>
    <t>194.65.49.192</t>
  </si>
  <si>
    <t>194.65.49.193</t>
  </si>
  <si>
    <t>194.65.49.200</t>
  </si>
  <si>
    <t>194.65.49.201</t>
  </si>
  <si>
    <t>194.65.49.208</t>
  </si>
  <si>
    <t>194.65.49.209</t>
  </si>
  <si>
    <t>194.65.49.216</t>
  </si>
  <si>
    <t>194.65.49.217</t>
  </si>
  <si>
    <t>194.65.49.158</t>
  </si>
  <si>
    <t>194.65.49.159</t>
  </si>
  <si>
    <t>194.65.49.166</t>
  </si>
  <si>
    <t>194.65.49.167</t>
  </si>
  <si>
    <t>194.65.49.174</t>
  </si>
  <si>
    <t>194.65.49.175</t>
  </si>
  <si>
    <t>194.65.49.182</t>
  </si>
  <si>
    <t>194.65.49.183</t>
  </si>
  <si>
    <t>194.65.49.190</t>
  </si>
  <si>
    <t>194.65.49.191</t>
  </si>
  <si>
    <t>194.65.49.198</t>
  </si>
  <si>
    <t>194.65.49.199</t>
  </si>
  <si>
    <t>194.65.49.206</t>
  </si>
  <si>
    <t>194.65.49.207</t>
  </si>
  <si>
    <t>194.65.49.214</t>
  </si>
  <si>
    <t>194.65.49.215</t>
  </si>
  <si>
    <t>194.65.49.222</t>
  </si>
  <si>
    <t>194.65.49.223</t>
  </si>
  <si>
    <t>194.65.49.224</t>
  </si>
  <si>
    <t>194.65.49.225</t>
  </si>
  <si>
    <t>194.65.49.231</t>
  </si>
  <si>
    <t>194.65.49.230</t>
  </si>
  <si>
    <t>194.65.49.232</t>
  </si>
  <si>
    <t>194.65.49.240</t>
  </si>
  <si>
    <t>194.65.49.248</t>
  </si>
  <si>
    <t>194.65.49.233</t>
  </si>
  <si>
    <t>194.65.49.241</t>
  </si>
  <si>
    <t>194.65.49.249</t>
  </si>
  <si>
    <t>194.65.49.238</t>
  </si>
  <si>
    <t>194.65.49.239</t>
  </si>
  <si>
    <t>194.65.49.246</t>
  </si>
  <si>
    <t>194.65.49.247</t>
  </si>
  <si>
    <t>194.65.49.254</t>
  </si>
  <si>
    <t>194.65.49.255</t>
  </si>
  <si>
    <t>194.65.50.0</t>
  </si>
  <si>
    <t>194.65.50.1</t>
  </si>
  <si>
    <t>194.65.50.6</t>
  </si>
  <si>
    <t>194.65.50.7</t>
  </si>
  <si>
    <t>194.65.50.8</t>
  </si>
  <si>
    <t>194.65.50.9</t>
  </si>
  <si>
    <t>194.65.50.16</t>
  </si>
  <si>
    <t>194.65.50.17</t>
  </si>
  <si>
    <t>194.65.50.24</t>
  </si>
  <si>
    <t>194.65.50.25</t>
  </si>
  <si>
    <t>194.65.50.32</t>
  </si>
  <si>
    <t>194.65.50.33</t>
  </si>
  <si>
    <t>194.65.50.40</t>
  </si>
  <si>
    <t>194.65.50.41</t>
  </si>
  <si>
    <t>194.65.50.14</t>
  </si>
  <si>
    <t>194.65.50.15</t>
  </si>
  <si>
    <t>194.65.50.22</t>
  </si>
  <si>
    <t>194.65.50.23</t>
  </si>
  <si>
    <t>194.65.50.30</t>
  </si>
  <si>
    <t>194.65.50.31</t>
  </si>
  <si>
    <t>194.65.50.38</t>
  </si>
  <si>
    <t>194.65.50.39</t>
  </si>
  <si>
    <t>194.65.50.46</t>
  </si>
  <si>
    <t>194.65.50.47</t>
  </si>
  <si>
    <t>/</t>
  </si>
  <si>
    <t>192.168.1.0</t>
  </si>
  <si>
    <t>192.168.1.1</t>
  </si>
  <si>
    <t>192.168.1.6</t>
  </si>
  <si>
    <t>192.168.1.7</t>
  </si>
  <si>
    <t>192.168.1.8</t>
  </si>
  <si>
    <t>192.168.1.14</t>
  </si>
  <si>
    <t>192.168.1.15</t>
  </si>
  <si>
    <t>192.168.1.16</t>
  </si>
  <si>
    <t>192.168.1.17</t>
  </si>
  <si>
    <t>192.168.1.22</t>
  </si>
  <si>
    <t>192.168.1.23</t>
  </si>
  <si>
    <t>192.168.1.24</t>
  </si>
  <si>
    <t>192.168.1.25</t>
  </si>
  <si>
    <t>192.168.1.30</t>
  </si>
  <si>
    <t>192.168.1.31</t>
  </si>
  <si>
    <t>192.168.1.32</t>
  </si>
  <si>
    <t>192.168.1.33</t>
  </si>
  <si>
    <t>192.168.1.46</t>
  </si>
  <si>
    <t>192.168.1.47</t>
  </si>
  <si>
    <t>255.255.255.252</t>
  </si>
  <si>
    <t>10.10.10.4</t>
  </si>
  <si>
    <t>10.10.10.5</t>
  </si>
  <si>
    <t>10.10.10.6</t>
  </si>
  <si>
    <t>10.10.10.7</t>
  </si>
  <si>
    <t>10.10.10.0</t>
  </si>
  <si>
    <t>10.10.10.1</t>
  </si>
  <si>
    <t>10.10.10.2</t>
  </si>
  <si>
    <t>10.10.10.3</t>
  </si>
  <si>
    <t>10.10.10.8</t>
  </si>
  <si>
    <t>10.10.10.9</t>
  </si>
  <si>
    <t>10.10.10.10</t>
  </si>
  <si>
    <t>10.10.10.11</t>
  </si>
  <si>
    <t>10.10.10.16</t>
  </si>
  <si>
    <t>10.10.10.17</t>
  </si>
  <si>
    <t>10.10.10.18</t>
  </si>
  <si>
    <t>10.10.10.19</t>
  </si>
  <si>
    <t>10.10.10.12</t>
  </si>
  <si>
    <t>10.10.10.13</t>
  </si>
  <si>
    <t>10.10.10.14</t>
  </si>
  <si>
    <t>10.10.10.15</t>
  </si>
  <si>
    <t>Administração</t>
  </si>
  <si>
    <t>Fabricação</t>
  </si>
  <si>
    <t>Consumíveis</t>
  </si>
  <si>
    <t>Resíduos</t>
  </si>
  <si>
    <t>Laboratório</t>
  </si>
  <si>
    <t>Expedição</t>
  </si>
  <si>
    <t>192.168.1.40</t>
  </si>
  <si>
    <t>192.168.1.48</t>
  </si>
  <si>
    <t>192.168.1.38</t>
  </si>
  <si>
    <t>192.168.1.39</t>
  </si>
  <si>
    <t>192.168.1.49</t>
  </si>
  <si>
    <t>192.168.1.55</t>
  </si>
  <si>
    <t>192.168.1.54</t>
  </si>
  <si>
    <t>R5A-R5R</t>
  </si>
  <si>
    <t>R5A-R5F</t>
  </si>
  <si>
    <t>R5F-R5L</t>
  </si>
  <si>
    <t>R5L-R5E</t>
  </si>
  <si>
    <t>R5E-R5C</t>
  </si>
  <si>
    <t>R5C-R5R</t>
  </si>
  <si>
    <t>10.10.10.20</t>
  </si>
  <si>
    <t>10.10.10.21</t>
  </si>
  <si>
    <t>10.10.10.22</t>
  </si>
  <si>
    <t>10.10.10.23</t>
  </si>
  <si>
    <t>IP</t>
  </si>
  <si>
    <t>192.168.1.34</t>
  </si>
  <si>
    <t>192.168.1.35</t>
  </si>
  <si>
    <t>192.168.1.36</t>
  </si>
  <si>
    <t>192.168.1.41</t>
  </si>
  <si>
    <t>192.168.1.42</t>
  </si>
  <si>
    <t>192.168.1.2</t>
  </si>
  <si>
    <t>192.168.1.3</t>
  </si>
  <si>
    <t>192.168.1.4</t>
  </si>
  <si>
    <t>192.168.1.5</t>
  </si>
  <si>
    <t>R1-Administração</t>
  </si>
  <si>
    <t>R2-Administração</t>
  </si>
  <si>
    <t>R3-Administração</t>
  </si>
  <si>
    <t>R4-Administração</t>
  </si>
  <si>
    <t>R6-Administração</t>
  </si>
  <si>
    <t>R7-Administração</t>
  </si>
  <si>
    <t>R9-Administração</t>
  </si>
  <si>
    <t>R10-Administração</t>
  </si>
  <si>
    <t>R2 S2/0</t>
  </si>
  <si>
    <t>R5 S2/1</t>
  </si>
  <si>
    <t>E0/1</t>
  </si>
  <si>
    <t>E0/2</t>
  </si>
  <si>
    <t>R5-Administração</t>
  </si>
  <si>
    <t>R8-Administração</t>
  </si>
  <si>
    <t>194.65.48.145</t>
  </si>
  <si>
    <t>194.65.48.158</t>
  </si>
  <si>
    <t>E0/0</t>
  </si>
  <si>
    <t>192.168.1.57</t>
  </si>
  <si>
    <t>192.168.1.58</t>
  </si>
  <si>
    <t>R7 S2/0</t>
  </si>
  <si>
    <t>R8 S2/0</t>
  </si>
  <si>
    <t>R2-R5</t>
  </si>
  <si>
    <t>R7-R8</t>
  </si>
  <si>
    <t>192.168.1.61</t>
  </si>
  <si>
    <t>192.168.1.62</t>
  </si>
  <si>
    <t>192.168.1.56/30</t>
  </si>
  <si>
    <t>192.168.1.60/30</t>
  </si>
  <si>
    <t>R1-Fabricação</t>
  </si>
  <si>
    <t>R2-Fabricação</t>
  </si>
  <si>
    <t>R3-Fabricação</t>
  </si>
  <si>
    <t>R4-Fabricação</t>
  </si>
  <si>
    <t>R5-Fabricação</t>
  </si>
  <si>
    <t>R1-Laboratório</t>
  </si>
  <si>
    <t>R5-Laboratório</t>
  </si>
  <si>
    <t>R4-Laboratório</t>
  </si>
  <si>
    <t>R3-Laboratório</t>
  </si>
  <si>
    <t>R2-Laboratório</t>
  </si>
  <si>
    <t>R1-Expedição</t>
  </si>
  <si>
    <t>R2-Expedição</t>
  </si>
  <si>
    <t>R3-Expedição</t>
  </si>
  <si>
    <t>R4-Expedição</t>
  </si>
  <si>
    <t>R5-Expedição</t>
  </si>
  <si>
    <t>R1-Consumíveis</t>
  </si>
  <si>
    <t>R2-Consumíveis</t>
  </si>
  <si>
    <t>R3-Consumíveis</t>
  </si>
  <si>
    <t>R4-Consumíveis</t>
  </si>
  <si>
    <t>R5-Consumíveis</t>
  </si>
  <si>
    <t>Interface</t>
  </si>
  <si>
    <t>Interface IP</t>
  </si>
  <si>
    <t>PC</t>
  </si>
  <si>
    <t>R1-Resíduos</t>
  </si>
  <si>
    <t>R2-Resíduos</t>
  </si>
  <si>
    <t>R3-Resíduos</t>
  </si>
  <si>
    <t>R4-Resíduos</t>
  </si>
  <si>
    <t>R5-Resíduos</t>
  </si>
  <si>
    <t>192.168.1.18</t>
  </si>
  <si>
    <t>192.168.1.19</t>
  </si>
  <si>
    <t>192.168.1.20</t>
  </si>
  <si>
    <t>192.168.1.21</t>
  </si>
  <si>
    <t>192.168.1.43</t>
  </si>
  <si>
    <t>192.168.1.44</t>
  </si>
  <si>
    <t>192.168.1.45</t>
  </si>
  <si>
    <t>192.168.1.50</t>
  </si>
  <si>
    <t>192.168.1.51</t>
  </si>
  <si>
    <t>192.168.1.52</t>
  </si>
  <si>
    <t>192.168.1.53</t>
  </si>
  <si>
    <t>192.168.1.26</t>
  </si>
  <si>
    <t>192.168.1.27</t>
  </si>
  <si>
    <t>192.168.1.28</t>
  </si>
  <si>
    <t>192.168.1.29</t>
  </si>
  <si>
    <t>192.168.1.37</t>
  </si>
  <si>
    <t>E0/3</t>
  </si>
  <si>
    <t>Filial</t>
  </si>
  <si>
    <t>Hosts Precisos</t>
  </si>
  <si>
    <t>Hosts Disponíveis</t>
  </si>
  <si>
    <t>Hosts não usados</t>
  </si>
  <si>
    <t>194.65.48.209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</si>
</sst>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Liberation Sans"/>
    </font>
    <font>
      <sz val="11"/>
      <color rgb="FFC9211E"/>
      <name val="Liberation Sans"/>
    </font>
    <font>
      <b/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66C"/>
        <bgColor rgb="FFFFB66C"/>
      </patternFill>
    </fill>
    <fill>
      <patternFill patternType="solid">
        <fgColor rgb="FFAFD095"/>
        <bgColor rgb="FFAFD095"/>
      </patternFill>
    </fill>
    <fill>
      <patternFill patternType="solid">
        <fgColor rgb="FFFFA6A6"/>
        <bgColor rgb="FFFFA6A6"/>
      </patternFill>
    </fill>
    <fill>
      <patternFill patternType="solid">
        <fgColor rgb="FFB4C7DC"/>
        <bgColor rgb="FFB4C7DC"/>
      </patternFill>
    </fill>
    <fill>
      <patternFill patternType="solid">
        <fgColor rgb="FFFFFFA6"/>
        <bgColor rgb="FFFFFFA6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DBB6"/>
        <bgColor rgb="FFFFDBB6"/>
      </patternFill>
    </fill>
    <fill>
      <patternFill patternType="solid">
        <fgColor rgb="FFB7B3CA"/>
        <bgColor rgb="FFB7B3CA"/>
      </patternFill>
    </fill>
    <fill>
      <patternFill patternType="solid">
        <fgColor rgb="FFEC9BA4"/>
        <bgColor rgb="FFEC9BA4"/>
      </patternFill>
    </fill>
    <fill>
      <patternFill patternType="solid">
        <fgColor rgb="FFFF7B59"/>
        <bgColor rgb="FFFF7B59"/>
      </patternFill>
    </fill>
    <fill>
      <patternFill patternType="solid">
        <fgColor rgb="FF729FCF"/>
        <bgColor rgb="FF729FCF"/>
      </patternFill>
    </fill>
    <fill>
      <patternFill patternType="solid">
        <fgColor theme="5" tint="0.59999389629810485"/>
        <bgColor rgb="FFFFDBB6"/>
      </patternFill>
    </fill>
    <fill>
      <patternFill patternType="solid">
        <fgColor theme="5" tint="0.59999389629810485"/>
        <bgColor rgb="FFAFD095"/>
      </patternFill>
    </fill>
    <fill>
      <patternFill patternType="solid">
        <fgColor theme="2" tint="-9.9978637043366805E-2"/>
        <bgColor rgb="FFB4C7DC"/>
      </patternFill>
    </fill>
    <fill>
      <patternFill patternType="solid">
        <fgColor theme="2" tint="-9.9978637043366805E-2"/>
        <bgColor rgb="FFAFD095"/>
      </patternFill>
    </fill>
    <fill>
      <patternFill patternType="solid">
        <fgColor theme="8" tint="0.39997558519241921"/>
        <bgColor rgb="FFAFD095"/>
      </patternFill>
    </fill>
    <fill>
      <patternFill patternType="solid">
        <fgColor theme="8" tint="0.39997558519241921"/>
        <bgColor rgb="FFB7B3CA"/>
      </patternFill>
    </fill>
    <fill>
      <patternFill patternType="solid">
        <fgColor theme="5" tint="0.59999389629810485"/>
        <bgColor rgb="FFFFFFA6"/>
      </patternFill>
    </fill>
    <fill>
      <patternFill patternType="solid">
        <fgColor theme="2" tint="-9.9978637043366805E-2"/>
        <bgColor rgb="FFFFFFA6"/>
      </patternFill>
    </fill>
    <fill>
      <patternFill patternType="solid">
        <fgColor theme="9" tint="0.59999389629810485"/>
        <bgColor rgb="FFAFD095"/>
      </patternFill>
    </fill>
    <fill>
      <patternFill patternType="solid">
        <fgColor theme="9" tint="0.59999389629810485"/>
        <bgColor rgb="FFFFFFA6"/>
      </patternFill>
    </fill>
    <fill>
      <patternFill patternType="solid">
        <fgColor theme="8" tint="0.59999389629810485"/>
        <bgColor rgb="FFAFD095"/>
      </patternFill>
    </fill>
    <fill>
      <patternFill patternType="solid">
        <fgColor theme="8" tint="0.59999389629810485"/>
        <bgColor rgb="FFFFFFA6"/>
      </patternFill>
    </fill>
    <fill>
      <patternFill patternType="solid">
        <fgColor theme="8" tint="0.59999389629810485"/>
        <bgColor rgb="FFB7B3C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B4C7DC"/>
      </patternFill>
    </fill>
    <fill>
      <patternFill patternType="solid">
        <fgColor theme="2" tint="-0.249977111117893"/>
        <bgColor rgb="FFB4C7DC"/>
      </patternFill>
    </fill>
    <fill>
      <patternFill patternType="solid">
        <fgColor theme="9" tint="0.39997558519241921"/>
        <bgColor rgb="FFAFD09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DBB6"/>
      </patternFill>
    </fill>
    <fill>
      <patternFill patternType="solid">
        <fgColor theme="5" tint="0.59999389629810485"/>
        <bgColor rgb="FFFFA6A6"/>
      </patternFill>
    </fill>
    <fill>
      <patternFill patternType="solid">
        <fgColor theme="2" tint="-0.249977111117893"/>
        <bgColor rgb="FFFFA6A6"/>
      </patternFill>
    </fill>
    <fill>
      <patternFill patternType="solid">
        <fgColor theme="9" tint="0.39997558519241921"/>
        <bgColor rgb="FFFFA6A6"/>
      </patternFill>
    </fill>
    <fill>
      <patternFill patternType="solid">
        <fgColor theme="4" tint="0.59999389629810485"/>
        <bgColor rgb="FFB7B3CA"/>
      </patternFill>
    </fill>
    <fill>
      <patternFill patternType="solid">
        <fgColor theme="4" tint="0.59999389629810485"/>
        <bgColor rgb="FFFFA6A6"/>
      </patternFill>
    </fill>
    <fill>
      <patternFill patternType="solid">
        <fgColor theme="0" tint="-0.249977111117893"/>
        <bgColor rgb="FFB4C7DC"/>
      </patternFill>
    </fill>
    <fill>
      <patternFill patternType="solid">
        <fgColor theme="0" tint="-0.249977111117893"/>
        <bgColor rgb="FFFFDBB6"/>
      </patternFill>
    </fill>
    <fill>
      <patternFill patternType="solid">
        <fgColor theme="9" tint="0.39997558519241921"/>
        <bgColor rgb="FFB4C7DC"/>
      </patternFill>
    </fill>
    <fill>
      <patternFill patternType="solid">
        <fgColor theme="4" tint="0.39997558519241921"/>
        <bgColor rgb="FFB7B3CA"/>
      </patternFill>
    </fill>
    <fill>
      <patternFill patternType="solid">
        <fgColor theme="4" tint="0.39997558519241921"/>
        <bgColor rgb="FFB4C7D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B66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0" fillId="24" borderId="5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26" borderId="0" xfId="0" applyFill="1" applyBorder="1" applyAlignment="1">
      <alignment horizontal="center"/>
    </xf>
    <xf numFmtId="0" fontId="0" fillId="26" borderId="4" xfId="0" applyFill="1" applyBorder="1" applyAlignment="1">
      <alignment horizontal="center"/>
    </xf>
    <xf numFmtId="0" fontId="0" fillId="26" borderId="6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9" borderId="2" xfId="0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30" borderId="2" xfId="0" applyFill="1" applyBorder="1" applyAlignment="1">
      <alignment horizontal="center"/>
    </xf>
    <xf numFmtId="0" fontId="0" fillId="30" borderId="8" xfId="0" applyFill="1" applyBorder="1" applyAlignment="1">
      <alignment horizontal="center"/>
    </xf>
    <xf numFmtId="0" fontId="0" fillId="30" borderId="10" xfId="0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9" xfId="0" applyFill="1" applyBorder="1" applyAlignment="1">
      <alignment horizontal="center"/>
    </xf>
    <xf numFmtId="0" fontId="0" fillId="27" borderId="1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29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29" borderId="14" xfId="0" applyFill="1" applyBorder="1" applyAlignment="1">
      <alignment horizontal="center"/>
    </xf>
    <xf numFmtId="0" fontId="0" fillId="29" borderId="15" xfId="0" applyFill="1" applyBorder="1" applyAlignment="1">
      <alignment horizontal="center"/>
    </xf>
    <xf numFmtId="0" fontId="0" fillId="29" borderId="16" xfId="0" applyFill="1" applyBorder="1" applyAlignment="1">
      <alignment horizontal="center"/>
    </xf>
    <xf numFmtId="0" fontId="0" fillId="29" borderId="17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29" borderId="8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29" borderId="9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37" borderId="3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37" borderId="4" xfId="0" applyFill="1" applyBorder="1" applyAlignment="1">
      <alignment horizontal="center"/>
    </xf>
    <xf numFmtId="0" fontId="0" fillId="37" borderId="9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40" borderId="13" xfId="0" applyFill="1" applyBorder="1" applyAlignment="1">
      <alignment horizontal="center"/>
    </xf>
    <xf numFmtId="0" fontId="0" fillId="39" borderId="1" xfId="0" applyFill="1" applyBorder="1" applyAlignment="1">
      <alignment horizontal="center"/>
    </xf>
    <xf numFmtId="0" fontId="0" fillId="39" borderId="14" xfId="0" applyFill="1" applyBorder="1" applyAlignment="1">
      <alignment horizontal="center"/>
    </xf>
    <xf numFmtId="0" fontId="0" fillId="39" borderId="15" xfId="0" applyFill="1" applyBorder="1" applyAlignment="1">
      <alignment horizontal="center"/>
    </xf>
    <xf numFmtId="0" fontId="0" fillId="39" borderId="16" xfId="0" applyFill="1" applyBorder="1" applyAlignment="1">
      <alignment horizontal="center"/>
    </xf>
    <xf numFmtId="0" fontId="0" fillId="39" borderId="17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2" borderId="3" xfId="0" applyFill="1" applyBorder="1" applyAlignment="1">
      <alignment horizontal="center"/>
    </xf>
    <xf numFmtId="0" fontId="0" fillId="42" borderId="0" xfId="0" applyFill="1" applyBorder="1" applyAlignment="1">
      <alignment horizontal="center"/>
    </xf>
    <xf numFmtId="0" fontId="0" fillId="43" borderId="1" xfId="0" applyFill="1" applyBorder="1" applyAlignment="1">
      <alignment horizontal="center"/>
    </xf>
    <xf numFmtId="0" fontId="0" fillId="42" borderId="4" xfId="0" applyFill="1" applyBorder="1" applyAlignment="1">
      <alignment horizontal="center"/>
    </xf>
    <xf numFmtId="0" fontId="0" fillId="42" borderId="6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5" borderId="19" xfId="0" applyFill="1" applyBorder="1"/>
    <xf numFmtId="0" fontId="3" fillId="44" borderId="19" xfId="0" applyFont="1" applyFill="1" applyBorder="1"/>
    <xf numFmtId="0" fontId="0" fillId="46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254740" y="2011680"/>
    <xdr:ext cx="1968480" cy="3776760"/>
    <xdr:pic>
      <xdr:nvPicPr>
        <xdr:cNvPr id="2" name="Image 1">
          <a:extLst>
            <a:ext uri="{FF2B5EF4-FFF2-40B4-BE49-F238E27FC236}">
              <a16:creationId xmlns:a16="http://schemas.microsoft.com/office/drawing/2014/main" id="{D4A025E7-84CC-4F86-AABB-3E0A44ADF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1254740" y="2011680"/>
          <a:ext cx="1968480" cy="3776760"/>
        </a:xfrm>
        <a:prstGeom prst="rect">
          <a:avLst/>
        </a:prstGeom>
        <a:noFill/>
        <a:ln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112F-6DED-45FF-BE88-B77D92AC9A81}">
  <dimension ref="A1:L77"/>
  <sheetViews>
    <sheetView topLeftCell="A16" workbookViewId="0">
      <selection activeCell="A32" sqref="A32:F41"/>
    </sheetView>
  </sheetViews>
  <sheetFormatPr defaultRowHeight="14.4"/>
  <cols>
    <col min="1" max="1" width="16.21875" customWidth="1"/>
    <col min="2" max="2" width="15.77734375" customWidth="1"/>
    <col min="3" max="3" width="18.6640625" customWidth="1"/>
    <col min="4" max="4" width="17.109375" customWidth="1"/>
    <col min="5" max="5" width="18.44140625" customWidth="1"/>
    <col min="6" max="6" width="20.44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10" t="s">
        <v>8</v>
      </c>
      <c r="K1" s="110"/>
    </row>
    <row r="2" spans="1:12">
      <c r="A2" s="2" t="s">
        <v>17</v>
      </c>
      <c r="B2" s="2" t="s">
        <v>7</v>
      </c>
      <c r="C2" s="3" t="s">
        <v>77</v>
      </c>
      <c r="D2" s="3" t="s">
        <v>79</v>
      </c>
      <c r="E2" s="3" t="s">
        <v>78</v>
      </c>
      <c r="F2" s="3" t="s">
        <v>96</v>
      </c>
      <c r="J2" s="12">
        <v>0</v>
      </c>
      <c r="K2" s="12" t="s">
        <v>9</v>
      </c>
    </row>
    <row r="3" spans="1:12">
      <c r="A3" s="2" t="s">
        <v>18</v>
      </c>
      <c r="B3" s="2" t="s">
        <v>7</v>
      </c>
      <c r="C3" s="3" t="s">
        <v>80</v>
      </c>
      <c r="D3" s="3" t="s">
        <v>95</v>
      </c>
      <c r="E3" s="3" t="s">
        <v>97</v>
      </c>
      <c r="F3" s="3" t="s">
        <v>98</v>
      </c>
      <c r="J3" s="12">
        <v>128</v>
      </c>
      <c r="K3" s="12" t="s">
        <v>10</v>
      </c>
    </row>
    <row r="4" spans="1:12">
      <c r="A4" s="2" t="s">
        <v>19</v>
      </c>
      <c r="B4" s="2" t="s">
        <v>7</v>
      </c>
      <c r="C4" s="3" t="s">
        <v>81</v>
      </c>
      <c r="D4" s="3" t="s">
        <v>99</v>
      </c>
      <c r="E4" s="3" t="s">
        <v>105</v>
      </c>
      <c r="F4" s="3" t="s">
        <v>106</v>
      </c>
      <c r="G4" s="113"/>
      <c r="J4" s="12">
        <v>192</v>
      </c>
      <c r="K4" s="12" t="s">
        <v>11</v>
      </c>
    </row>
    <row r="5" spans="1:12">
      <c r="A5" s="2" t="s">
        <v>20</v>
      </c>
      <c r="B5" s="2" t="s">
        <v>7</v>
      </c>
      <c r="C5" s="3" t="s">
        <v>82</v>
      </c>
      <c r="D5" s="3" t="s">
        <v>94</v>
      </c>
      <c r="E5" s="3" t="s">
        <v>93</v>
      </c>
      <c r="F5" s="3" t="s">
        <v>92</v>
      </c>
      <c r="J5" s="12">
        <v>224</v>
      </c>
      <c r="K5" s="12" t="s">
        <v>12</v>
      </c>
    </row>
    <row r="6" spans="1:12">
      <c r="A6" s="2" t="s">
        <v>21</v>
      </c>
      <c r="B6" s="2" t="s">
        <v>7</v>
      </c>
      <c r="C6" s="3" t="s">
        <v>83</v>
      </c>
      <c r="D6" s="3" t="s">
        <v>100</v>
      </c>
      <c r="E6" s="3" t="s">
        <v>107</v>
      </c>
      <c r="F6" s="3" t="s">
        <v>108</v>
      </c>
      <c r="J6" s="12">
        <v>240</v>
      </c>
      <c r="K6" s="12" t="s">
        <v>13</v>
      </c>
    </row>
    <row r="7" spans="1:12">
      <c r="A7" s="2" t="s">
        <v>22</v>
      </c>
      <c r="B7" s="2" t="s">
        <v>7</v>
      </c>
      <c r="C7" s="3" t="s">
        <v>84</v>
      </c>
      <c r="D7" s="3" t="s">
        <v>101</v>
      </c>
      <c r="E7" s="3" t="s">
        <v>109</v>
      </c>
      <c r="F7" s="3" t="s">
        <v>110</v>
      </c>
      <c r="J7" s="12">
        <v>248</v>
      </c>
      <c r="K7" s="12" t="s">
        <v>14</v>
      </c>
    </row>
    <row r="8" spans="1:12">
      <c r="A8" s="2" t="s">
        <v>23</v>
      </c>
      <c r="B8" s="2" t="s">
        <v>7</v>
      </c>
      <c r="C8" s="3" t="s">
        <v>85</v>
      </c>
      <c r="D8" s="3" t="s">
        <v>102</v>
      </c>
      <c r="E8" s="3" t="s">
        <v>111</v>
      </c>
      <c r="F8" s="3" t="s">
        <v>112</v>
      </c>
      <c r="J8" s="12">
        <v>252</v>
      </c>
      <c r="K8" s="12" t="s">
        <v>15</v>
      </c>
    </row>
    <row r="9" spans="1:12">
      <c r="A9" s="2" t="s">
        <v>24</v>
      </c>
      <c r="B9" s="2" t="s">
        <v>7</v>
      </c>
      <c r="C9" s="3" t="s">
        <v>86</v>
      </c>
      <c r="D9" s="3" t="s">
        <v>103</v>
      </c>
      <c r="E9" s="3" t="s">
        <v>113</v>
      </c>
      <c r="F9" s="3" t="s">
        <v>114</v>
      </c>
      <c r="J9" s="12">
        <v>254</v>
      </c>
      <c r="K9" s="12" t="s">
        <v>16</v>
      </c>
    </row>
    <row r="10" spans="1:12">
      <c r="A10" s="2" t="s">
        <v>25</v>
      </c>
      <c r="B10" s="2" t="s">
        <v>7</v>
      </c>
      <c r="C10" s="3" t="s">
        <v>87</v>
      </c>
      <c r="D10" s="3" t="s">
        <v>104</v>
      </c>
      <c r="E10" s="3" t="s">
        <v>115</v>
      </c>
      <c r="F10" s="3" t="s">
        <v>116</v>
      </c>
      <c r="J10" s="12">
        <v>255</v>
      </c>
      <c r="K10" s="12" t="s">
        <v>16</v>
      </c>
    </row>
    <row r="11" spans="1:12">
      <c r="A11" s="2" t="s">
        <v>26</v>
      </c>
      <c r="B11" s="2" t="s">
        <v>7</v>
      </c>
      <c r="C11" s="3" t="s">
        <v>88</v>
      </c>
      <c r="D11" s="3" t="s">
        <v>90</v>
      </c>
      <c r="E11" s="3" t="s">
        <v>91</v>
      </c>
      <c r="F11" s="3" t="s">
        <v>89</v>
      </c>
    </row>
    <row r="12" spans="1:12">
      <c r="A12" s="4" t="s">
        <v>27</v>
      </c>
      <c r="B12" s="4" t="s">
        <v>6</v>
      </c>
      <c r="C12" s="5" t="s">
        <v>117</v>
      </c>
      <c r="D12" s="5" t="s">
        <v>118</v>
      </c>
      <c r="E12" s="5" t="s">
        <v>135</v>
      </c>
      <c r="F12" s="5" t="s">
        <v>136</v>
      </c>
      <c r="H12" s="13" t="s">
        <v>15</v>
      </c>
      <c r="I12" s="13" t="s">
        <v>14</v>
      </c>
      <c r="J12" s="13" t="s">
        <v>13</v>
      </c>
      <c r="K12" s="13" t="s">
        <v>12</v>
      </c>
      <c r="L12" s="13" t="s">
        <v>11</v>
      </c>
    </row>
    <row r="13" spans="1:12">
      <c r="A13" s="4" t="s">
        <v>28</v>
      </c>
      <c r="B13" s="4" t="s">
        <v>6</v>
      </c>
      <c r="C13" s="5" t="s">
        <v>127</v>
      </c>
      <c r="D13" s="5" t="s">
        <v>137</v>
      </c>
      <c r="E13" s="5" t="s">
        <v>119</v>
      </c>
      <c r="F13" s="5" t="s">
        <v>120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</row>
    <row r="14" spans="1:12">
      <c r="A14" s="4" t="s">
        <v>29</v>
      </c>
      <c r="B14" s="4" t="s">
        <v>6</v>
      </c>
      <c r="C14" s="5" t="s">
        <v>121</v>
      </c>
      <c r="D14" s="5" t="s">
        <v>122</v>
      </c>
      <c r="E14" s="5" t="s">
        <v>143</v>
      </c>
      <c r="F14" s="5" t="s">
        <v>144</v>
      </c>
      <c r="H14" s="14">
        <f t="shared" ref="H14:H77" si="0">H13+4</f>
        <v>4</v>
      </c>
      <c r="I14" s="14">
        <f t="shared" ref="I14:I45" si="1">I13+8</f>
        <v>8</v>
      </c>
      <c r="J14" s="14">
        <f t="shared" ref="J14:J29" si="2">J13+16</f>
        <v>16</v>
      </c>
      <c r="K14" s="14">
        <f t="shared" ref="K14:K21" si="3">K13+32</f>
        <v>32</v>
      </c>
      <c r="L14" s="14">
        <f>L13+64</f>
        <v>64</v>
      </c>
    </row>
    <row r="15" spans="1:12">
      <c r="A15" s="4" t="s">
        <v>30</v>
      </c>
      <c r="B15" s="4" t="s">
        <v>6</v>
      </c>
      <c r="C15" s="5" t="s">
        <v>128</v>
      </c>
      <c r="D15" s="5" t="s">
        <v>138</v>
      </c>
      <c r="E15" s="5" t="s">
        <v>145</v>
      </c>
      <c r="F15" s="5" t="s">
        <v>146</v>
      </c>
      <c r="H15" s="14">
        <f t="shared" si="0"/>
        <v>8</v>
      </c>
      <c r="I15" s="14">
        <f t="shared" si="1"/>
        <v>16</v>
      </c>
      <c r="J15" s="14">
        <f t="shared" si="2"/>
        <v>32</v>
      </c>
      <c r="K15" s="14">
        <f t="shared" si="3"/>
        <v>64</v>
      </c>
      <c r="L15" s="14">
        <f>L14+64</f>
        <v>128</v>
      </c>
    </row>
    <row r="16" spans="1:12">
      <c r="A16" s="4" t="s">
        <v>31</v>
      </c>
      <c r="B16" s="4" t="s">
        <v>6</v>
      </c>
      <c r="C16" s="5" t="s">
        <v>123</v>
      </c>
      <c r="D16" s="5" t="s">
        <v>139</v>
      </c>
      <c r="E16" s="5" t="s">
        <v>147</v>
      </c>
      <c r="F16" s="5" t="s">
        <v>148</v>
      </c>
      <c r="H16" s="14">
        <f t="shared" si="0"/>
        <v>12</v>
      </c>
      <c r="I16" s="14">
        <f t="shared" si="1"/>
        <v>24</v>
      </c>
      <c r="J16" s="14">
        <f t="shared" si="2"/>
        <v>48</v>
      </c>
      <c r="K16" s="14">
        <f t="shared" si="3"/>
        <v>96</v>
      </c>
      <c r="L16" s="14">
        <f>L15+64</f>
        <v>192</v>
      </c>
    </row>
    <row r="17" spans="1:12">
      <c r="A17" s="4" t="s">
        <v>32</v>
      </c>
      <c r="B17" s="4" t="s">
        <v>6</v>
      </c>
      <c r="C17" s="5" t="s">
        <v>129</v>
      </c>
      <c r="D17" s="5" t="s">
        <v>140</v>
      </c>
      <c r="E17" s="5" t="s">
        <v>149</v>
      </c>
      <c r="F17" s="5" t="s">
        <v>150</v>
      </c>
      <c r="H17" s="14">
        <f t="shared" si="0"/>
        <v>16</v>
      </c>
      <c r="I17" s="14">
        <f t="shared" si="1"/>
        <v>32</v>
      </c>
      <c r="J17" s="14">
        <f t="shared" si="2"/>
        <v>64</v>
      </c>
      <c r="K17" s="14">
        <f t="shared" si="3"/>
        <v>128</v>
      </c>
      <c r="L17" s="14">
        <f>L16+64</f>
        <v>256</v>
      </c>
    </row>
    <row r="18" spans="1:12">
      <c r="A18" s="4" t="s">
        <v>33</v>
      </c>
      <c r="B18" s="4" t="s">
        <v>6</v>
      </c>
      <c r="C18" s="5" t="s">
        <v>124</v>
      </c>
      <c r="D18" s="5" t="s">
        <v>466</v>
      </c>
      <c r="E18" s="5" t="s">
        <v>151</v>
      </c>
      <c r="F18" s="5" t="s">
        <v>152</v>
      </c>
      <c r="H18" s="14">
        <f t="shared" si="0"/>
        <v>20</v>
      </c>
      <c r="I18" s="14">
        <f t="shared" si="1"/>
        <v>40</v>
      </c>
      <c r="J18" s="14">
        <f t="shared" si="2"/>
        <v>80</v>
      </c>
      <c r="K18" s="14">
        <f t="shared" si="3"/>
        <v>160</v>
      </c>
    </row>
    <row r="19" spans="1:12">
      <c r="A19" s="4" t="s">
        <v>34</v>
      </c>
      <c r="B19" s="4" t="s">
        <v>6</v>
      </c>
      <c r="C19" s="5" t="s">
        <v>130</v>
      </c>
      <c r="D19" s="5" t="s">
        <v>141</v>
      </c>
      <c r="E19" s="5" t="s">
        <v>153</v>
      </c>
      <c r="F19" s="5" t="s">
        <v>154</v>
      </c>
      <c r="H19" s="14">
        <f t="shared" si="0"/>
        <v>24</v>
      </c>
      <c r="I19" s="14">
        <f t="shared" si="1"/>
        <v>48</v>
      </c>
      <c r="J19" s="14">
        <f t="shared" si="2"/>
        <v>96</v>
      </c>
      <c r="K19" s="14">
        <f t="shared" si="3"/>
        <v>192</v>
      </c>
    </row>
    <row r="20" spans="1:12">
      <c r="A20" s="4" t="s">
        <v>35</v>
      </c>
      <c r="B20" s="4" t="s">
        <v>6</v>
      </c>
      <c r="C20" s="5" t="s">
        <v>125</v>
      </c>
      <c r="D20" s="5" t="s">
        <v>142</v>
      </c>
      <c r="E20" s="5" t="s">
        <v>155</v>
      </c>
      <c r="F20" s="5" t="s">
        <v>156</v>
      </c>
      <c r="H20" s="14">
        <f t="shared" si="0"/>
        <v>28</v>
      </c>
      <c r="I20" s="14">
        <f t="shared" si="1"/>
        <v>56</v>
      </c>
      <c r="J20" s="14">
        <f t="shared" si="2"/>
        <v>112</v>
      </c>
      <c r="K20" s="14">
        <f t="shared" si="3"/>
        <v>224</v>
      </c>
    </row>
    <row r="21" spans="1:12">
      <c r="A21" s="4" t="s">
        <v>36</v>
      </c>
      <c r="B21" s="4" t="s">
        <v>6</v>
      </c>
      <c r="C21" s="5" t="s">
        <v>131</v>
      </c>
      <c r="D21" s="5" t="s">
        <v>134</v>
      </c>
      <c r="E21" s="5" t="s">
        <v>133</v>
      </c>
      <c r="F21" s="5" t="s">
        <v>132</v>
      </c>
      <c r="H21" s="14">
        <f t="shared" si="0"/>
        <v>32</v>
      </c>
      <c r="I21" s="14">
        <f t="shared" si="1"/>
        <v>64</v>
      </c>
      <c r="J21" s="14">
        <f t="shared" si="2"/>
        <v>128</v>
      </c>
      <c r="K21" s="14">
        <f t="shared" si="3"/>
        <v>256</v>
      </c>
    </row>
    <row r="22" spans="1:12">
      <c r="A22" s="6" t="s">
        <v>37</v>
      </c>
      <c r="B22" s="6" t="s">
        <v>6</v>
      </c>
      <c r="C22" s="7" t="s">
        <v>126</v>
      </c>
      <c r="D22" s="7" t="s">
        <v>157</v>
      </c>
      <c r="E22" s="7" t="s">
        <v>158</v>
      </c>
      <c r="F22" s="7" t="s">
        <v>159</v>
      </c>
      <c r="H22" s="14">
        <f t="shared" si="0"/>
        <v>36</v>
      </c>
      <c r="I22" s="14">
        <f t="shared" si="1"/>
        <v>72</v>
      </c>
      <c r="J22" s="14">
        <f t="shared" si="2"/>
        <v>144</v>
      </c>
      <c r="K22" s="14"/>
    </row>
    <row r="23" spans="1:12">
      <c r="A23" s="15" t="s">
        <v>38</v>
      </c>
      <c r="B23" s="6" t="s">
        <v>6</v>
      </c>
      <c r="C23" s="7" t="s">
        <v>160</v>
      </c>
      <c r="D23" s="7" t="s">
        <v>161</v>
      </c>
      <c r="E23" s="7" t="s">
        <v>162</v>
      </c>
      <c r="F23" s="7" t="s">
        <v>163</v>
      </c>
      <c r="H23" s="14">
        <f t="shared" si="0"/>
        <v>40</v>
      </c>
      <c r="I23" s="14">
        <f t="shared" si="1"/>
        <v>80</v>
      </c>
      <c r="J23" s="14">
        <f t="shared" si="2"/>
        <v>160</v>
      </c>
      <c r="K23" s="14"/>
    </row>
    <row r="24" spans="1:12">
      <c r="A24" s="6" t="s">
        <v>39</v>
      </c>
      <c r="B24" s="6" t="s">
        <v>6</v>
      </c>
      <c r="C24" s="7" t="s">
        <v>164</v>
      </c>
      <c r="D24" s="7" t="s">
        <v>165</v>
      </c>
      <c r="E24" s="7" t="s">
        <v>166</v>
      </c>
      <c r="F24" s="7" t="s">
        <v>167</v>
      </c>
      <c r="H24" s="14">
        <f t="shared" si="0"/>
        <v>44</v>
      </c>
      <c r="I24" s="14">
        <f t="shared" si="1"/>
        <v>88</v>
      </c>
      <c r="J24" s="14">
        <f t="shared" si="2"/>
        <v>176</v>
      </c>
      <c r="K24" s="14"/>
    </row>
    <row r="25" spans="1:12">
      <c r="A25" s="6" t="s">
        <v>40</v>
      </c>
      <c r="B25" s="6" t="s">
        <v>6</v>
      </c>
      <c r="C25" s="7" t="s">
        <v>168</v>
      </c>
      <c r="D25" s="7" t="s">
        <v>175</v>
      </c>
      <c r="E25" s="7" t="s">
        <v>182</v>
      </c>
      <c r="F25" s="7" t="s">
        <v>183</v>
      </c>
      <c r="H25" s="14">
        <f t="shared" si="0"/>
        <v>48</v>
      </c>
      <c r="I25" s="14">
        <f t="shared" si="1"/>
        <v>96</v>
      </c>
      <c r="J25" s="14">
        <f t="shared" si="2"/>
        <v>192</v>
      </c>
      <c r="K25" s="14"/>
    </row>
    <row r="26" spans="1:12">
      <c r="A26" s="6" t="s">
        <v>41</v>
      </c>
      <c r="B26" s="6" t="s">
        <v>6</v>
      </c>
      <c r="C26" s="7" t="s">
        <v>169</v>
      </c>
      <c r="D26" s="7" t="s">
        <v>176</v>
      </c>
      <c r="E26" s="7" t="s">
        <v>184</v>
      </c>
      <c r="F26" s="7" t="s">
        <v>185</v>
      </c>
      <c r="H26" s="14">
        <f t="shared" si="0"/>
        <v>52</v>
      </c>
      <c r="I26" s="14">
        <f t="shared" si="1"/>
        <v>104</v>
      </c>
      <c r="J26" s="14">
        <f t="shared" si="2"/>
        <v>208</v>
      </c>
      <c r="K26" s="14"/>
    </row>
    <row r="27" spans="1:12">
      <c r="A27" s="6" t="s">
        <v>42</v>
      </c>
      <c r="B27" s="6" t="s">
        <v>6</v>
      </c>
      <c r="C27" s="7" t="s">
        <v>170</v>
      </c>
      <c r="D27" s="7" t="s">
        <v>177</v>
      </c>
      <c r="E27" s="7" t="s">
        <v>186</v>
      </c>
      <c r="F27" s="7" t="s">
        <v>187</v>
      </c>
      <c r="H27" s="14">
        <f t="shared" si="0"/>
        <v>56</v>
      </c>
      <c r="I27" s="14">
        <f t="shared" si="1"/>
        <v>112</v>
      </c>
      <c r="J27" s="14">
        <f t="shared" si="2"/>
        <v>224</v>
      </c>
      <c r="K27" s="14"/>
    </row>
    <row r="28" spans="1:12">
      <c r="A28" s="6" t="s">
        <v>43</v>
      </c>
      <c r="B28" s="6" t="s">
        <v>6</v>
      </c>
      <c r="C28" s="7" t="s">
        <v>171</v>
      </c>
      <c r="D28" s="7" t="s">
        <v>178</v>
      </c>
      <c r="E28" s="7" t="s">
        <v>188</v>
      </c>
      <c r="F28" s="7" t="s">
        <v>189</v>
      </c>
      <c r="H28" s="14">
        <f t="shared" si="0"/>
        <v>60</v>
      </c>
      <c r="I28" s="14">
        <f t="shared" si="1"/>
        <v>120</v>
      </c>
      <c r="J28" s="14">
        <f t="shared" si="2"/>
        <v>240</v>
      </c>
      <c r="K28" s="14"/>
    </row>
    <row r="29" spans="1:12">
      <c r="A29" s="6" t="s">
        <v>44</v>
      </c>
      <c r="B29" s="6" t="s">
        <v>6</v>
      </c>
      <c r="C29" s="7" t="s">
        <v>196</v>
      </c>
      <c r="D29" s="7" t="s">
        <v>197</v>
      </c>
      <c r="E29" s="7" t="s">
        <v>190</v>
      </c>
      <c r="F29" s="7" t="s">
        <v>191</v>
      </c>
      <c r="H29" s="14">
        <f t="shared" si="0"/>
        <v>64</v>
      </c>
      <c r="I29" s="14">
        <f t="shared" si="1"/>
        <v>128</v>
      </c>
      <c r="J29" s="14">
        <f t="shared" si="2"/>
        <v>256</v>
      </c>
      <c r="K29" s="14"/>
    </row>
    <row r="30" spans="1:12">
      <c r="A30" s="6" t="s">
        <v>45</v>
      </c>
      <c r="B30" s="6" t="s">
        <v>6</v>
      </c>
      <c r="C30" s="7" t="s">
        <v>172</v>
      </c>
      <c r="D30" s="7" t="s">
        <v>179</v>
      </c>
      <c r="E30" s="7" t="s">
        <v>192</v>
      </c>
      <c r="F30" s="7" t="s">
        <v>193</v>
      </c>
      <c r="H30" s="14">
        <f t="shared" si="0"/>
        <v>68</v>
      </c>
      <c r="I30" s="14">
        <f t="shared" si="1"/>
        <v>136</v>
      </c>
      <c r="J30" s="14"/>
      <c r="K30" s="14"/>
    </row>
    <row r="31" spans="1:12">
      <c r="A31" s="6" t="s">
        <v>46</v>
      </c>
      <c r="B31" s="6" t="s">
        <v>6</v>
      </c>
      <c r="C31" s="7" t="s">
        <v>173</v>
      </c>
      <c r="D31" s="7" t="s">
        <v>180</v>
      </c>
      <c r="E31" s="7" t="s">
        <v>194</v>
      </c>
      <c r="F31" s="7" t="s">
        <v>195</v>
      </c>
      <c r="H31" s="14">
        <f t="shared" si="0"/>
        <v>72</v>
      </c>
      <c r="I31" s="14">
        <f t="shared" si="1"/>
        <v>144</v>
      </c>
      <c r="J31" s="14"/>
      <c r="K31" s="14"/>
    </row>
    <row r="32" spans="1:12">
      <c r="A32" s="8" t="s">
        <v>47</v>
      </c>
      <c r="B32" s="8" t="s">
        <v>6</v>
      </c>
      <c r="C32" s="9" t="s">
        <v>174</v>
      </c>
      <c r="D32" s="9" t="s">
        <v>181</v>
      </c>
      <c r="E32" s="9" t="s">
        <v>198</v>
      </c>
      <c r="F32" s="9" t="s">
        <v>199</v>
      </c>
      <c r="H32" s="14">
        <f t="shared" si="0"/>
        <v>76</v>
      </c>
      <c r="I32" s="14">
        <f t="shared" si="1"/>
        <v>152</v>
      </c>
      <c r="J32" s="14"/>
      <c r="K32" s="14"/>
    </row>
    <row r="33" spans="1:11">
      <c r="A33" s="8" t="s">
        <v>48</v>
      </c>
      <c r="B33" s="8" t="s">
        <v>6</v>
      </c>
      <c r="C33" s="9" t="s">
        <v>200</v>
      </c>
      <c r="D33" s="9" t="s">
        <v>201</v>
      </c>
      <c r="E33" s="9" t="s">
        <v>218</v>
      </c>
      <c r="F33" s="9" t="s">
        <v>219</v>
      </c>
      <c r="H33" s="14">
        <f t="shared" si="0"/>
        <v>80</v>
      </c>
      <c r="I33" s="14">
        <f t="shared" si="1"/>
        <v>160</v>
      </c>
      <c r="J33" s="14"/>
      <c r="K33" s="14"/>
    </row>
    <row r="34" spans="1:11">
      <c r="A34" s="8" t="s">
        <v>49</v>
      </c>
      <c r="B34" s="8" t="s">
        <v>6</v>
      </c>
      <c r="C34" s="9" t="s">
        <v>202</v>
      </c>
      <c r="D34" s="9" t="s">
        <v>203</v>
      </c>
      <c r="E34" s="9" t="s">
        <v>220</v>
      </c>
      <c r="F34" s="9" t="s">
        <v>221</v>
      </c>
      <c r="H34" s="14">
        <f t="shared" si="0"/>
        <v>84</v>
      </c>
      <c r="I34" s="14">
        <f t="shared" si="1"/>
        <v>168</v>
      </c>
      <c r="J34" s="14"/>
      <c r="K34" s="14"/>
    </row>
    <row r="35" spans="1:11">
      <c r="A35" s="8" t="s">
        <v>50</v>
      </c>
      <c r="B35" s="8" t="s">
        <v>6</v>
      </c>
      <c r="C35" s="9" t="s">
        <v>204</v>
      </c>
      <c r="D35" s="9" t="s">
        <v>205</v>
      </c>
      <c r="E35" s="9" t="s">
        <v>222</v>
      </c>
      <c r="F35" s="9" t="s">
        <v>223</v>
      </c>
      <c r="H35" s="14">
        <f t="shared" si="0"/>
        <v>88</v>
      </c>
      <c r="I35" s="14">
        <f t="shared" si="1"/>
        <v>176</v>
      </c>
      <c r="J35" s="14"/>
      <c r="K35" s="14"/>
    </row>
    <row r="36" spans="1:11">
      <c r="A36" s="8" t="s">
        <v>51</v>
      </c>
      <c r="B36" s="8" t="s">
        <v>6</v>
      </c>
      <c r="C36" s="9" t="s">
        <v>206</v>
      </c>
      <c r="D36" s="9" t="s">
        <v>207</v>
      </c>
      <c r="E36" s="9" t="s">
        <v>224</v>
      </c>
      <c r="F36" s="9" t="s">
        <v>225</v>
      </c>
      <c r="H36" s="14">
        <f t="shared" si="0"/>
        <v>92</v>
      </c>
      <c r="I36" s="14">
        <f t="shared" si="1"/>
        <v>184</v>
      </c>
      <c r="J36" s="14"/>
      <c r="K36" s="14"/>
    </row>
    <row r="37" spans="1:11">
      <c r="A37" s="8" t="s">
        <v>52</v>
      </c>
      <c r="B37" s="8" t="s">
        <v>6</v>
      </c>
      <c r="C37" s="9" t="s">
        <v>208</v>
      </c>
      <c r="D37" s="9" t="s">
        <v>209</v>
      </c>
      <c r="E37" s="9" t="s">
        <v>226</v>
      </c>
      <c r="F37" s="9" t="s">
        <v>227</v>
      </c>
      <c r="H37" s="14">
        <f t="shared" si="0"/>
        <v>96</v>
      </c>
      <c r="I37" s="14">
        <f t="shared" si="1"/>
        <v>192</v>
      </c>
      <c r="J37" s="14"/>
      <c r="K37" s="14"/>
    </row>
    <row r="38" spans="1:11">
      <c r="A38" s="8" t="s">
        <v>53</v>
      </c>
      <c r="B38" s="8" t="s">
        <v>6</v>
      </c>
      <c r="C38" s="9" t="s">
        <v>210</v>
      </c>
      <c r="D38" s="9" t="s">
        <v>211</v>
      </c>
      <c r="E38" s="9" t="s">
        <v>228</v>
      </c>
      <c r="F38" s="9" t="s">
        <v>229</v>
      </c>
      <c r="H38" s="14">
        <f t="shared" si="0"/>
        <v>100</v>
      </c>
      <c r="I38" s="14">
        <f t="shared" si="1"/>
        <v>200</v>
      </c>
      <c r="J38" s="14"/>
      <c r="K38" s="14"/>
    </row>
    <row r="39" spans="1:11">
      <c r="A39" s="8" t="s">
        <v>54</v>
      </c>
      <c r="B39" s="8" t="s">
        <v>6</v>
      </c>
      <c r="C39" s="9" t="s">
        <v>212</v>
      </c>
      <c r="D39" s="9" t="s">
        <v>213</v>
      </c>
      <c r="E39" s="9" t="s">
        <v>230</v>
      </c>
      <c r="F39" s="9" t="s">
        <v>231</v>
      </c>
      <c r="H39" s="14">
        <f t="shared" si="0"/>
        <v>104</v>
      </c>
      <c r="I39" s="14">
        <f t="shared" si="1"/>
        <v>208</v>
      </c>
      <c r="J39" s="14"/>
      <c r="K39" s="14"/>
    </row>
    <row r="40" spans="1:11">
      <c r="A40" s="8" t="s">
        <v>55</v>
      </c>
      <c r="B40" s="8" t="s">
        <v>6</v>
      </c>
      <c r="C40" s="9" t="s">
        <v>214</v>
      </c>
      <c r="D40" s="9" t="s">
        <v>215</v>
      </c>
      <c r="E40" s="9" t="s">
        <v>232</v>
      </c>
      <c r="F40" s="9" t="s">
        <v>233</v>
      </c>
      <c r="H40" s="14">
        <f t="shared" si="0"/>
        <v>108</v>
      </c>
      <c r="I40" s="14">
        <f t="shared" si="1"/>
        <v>216</v>
      </c>
      <c r="J40" s="14"/>
      <c r="K40" s="14"/>
    </row>
    <row r="41" spans="1:11">
      <c r="A41" s="8" t="s">
        <v>56</v>
      </c>
      <c r="B41" s="8" t="s">
        <v>6</v>
      </c>
      <c r="C41" s="9" t="s">
        <v>216</v>
      </c>
      <c r="D41" s="9" t="s">
        <v>217</v>
      </c>
      <c r="E41" s="9" t="s">
        <v>234</v>
      </c>
      <c r="F41" s="9" t="s">
        <v>235</v>
      </c>
      <c r="H41" s="14">
        <f t="shared" si="0"/>
        <v>112</v>
      </c>
      <c r="I41" s="14">
        <f t="shared" si="1"/>
        <v>224</v>
      </c>
      <c r="J41" s="14"/>
      <c r="K41" s="14"/>
    </row>
    <row r="42" spans="1:11">
      <c r="A42" s="10" t="s">
        <v>57</v>
      </c>
      <c r="B42" s="11" t="s">
        <v>6</v>
      </c>
      <c r="C42" s="11" t="s">
        <v>236</v>
      </c>
      <c r="D42" s="11" t="s">
        <v>237</v>
      </c>
      <c r="E42" s="11" t="s">
        <v>238</v>
      </c>
      <c r="F42" s="11" t="s">
        <v>239</v>
      </c>
      <c r="H42" s="14">
        <f t="shared" si="0"/>
        <v>116</v>
      </c>
      <c r="I42" s="14">
        <f t="shared" si="1"/>
        <v>232</v>
      </c>
      <c r="J42" s="14"/>
      <c r="K42" s="14"/>
    </row>
    <row r="43" spans="1:11">
      <c r="A43" s="10" t="s">
        <v>58</v>
      </c>
      <c r="B43" s="11" t="s">
        <v>6</v>
      </c>
      <c r="C43" s="11" t="s">
        <v>240</v>
      </c>
      <c r="D43" s="11" t="s">
        <v>241</v>
      </c>
      <c r="E43" s="11" t="s">
        <v>258</v>
      </c>
      <c r="F43" s="11" t="s">
        <v>259</v>
      </c>
      <c r="H43" s="14">
        <f t="shared" si="0"/>
        <v>120</v>
      </c>
      <c r="I43" s="14">
        <f t="shared" si="1"/>
        <v>240</v>
      </c>
      <c r="J43" s="14"/>
      <c r="K43" s="14"/>
    </row>
    <row r="44" spans="1:11">
      <c r="A44" s="10" t="s">
        <v>59</v>
      </c>
      <c r="B44" s="11" t="s">
        <v>6</v>
      </c>
      <c r="C44" s="11" t="s">
        <v>242</v>
      </c>
      <c r="D44" s="11" t="s">
        <v>243</v>
      </c>
      <c r="E44" s="11" t="s">
        <v>260</v>
      </c>
      <c r="F44" s="11" t="s">
        <v>261</v>
      </c>
      <c r="H44" s="14">
        <f t="shared" si="0"/>
        <v>124</v>
      </c>
      <c r="I44" s="14">
        <f t="shared" si="1"/>
        <v>248</v>
      </c>
      <c r="J44" s="14"/>
      <c r="K44" s="14"/>
    </row>
    <row r="45" spans="1:11">
      <c r="A45" s="10" t="s">
        <v>60</v>
      </c>
      <c r="B45" s="11" t="s">
        <v>6</v>
      </c>
      <c r="C45" s="11" t="s">
        <v>244</v>
      </c>
      <c r="D45" s="11" t="s">
        <v>246</v>
      </c>
      <c r="E45" s="11" t="s">
        <v>262</v>
      </c>
      <c r="F45" s="11" t="s">
        <v>263</v>
      </c>
      <c r="H45" s="14">
        <f t="shared" si="0"/>
        <v>128</v>
      </c>
      <c r="I45" s="14">
        <f t="shared" si="1"/>
        <v>256</v>
      </c>
      <c r="J45" s="14"/>
      <c r="K45" s="14"/>
    </row>
    <row r="46" spans="1:11">
      <c r="A46" s="10" t="s">
        <v>61</v>
      </c>
      <c r="B46" s="11" t="s">
        <v>6</v>
      </c>
      <c r="C46" s="11" t="s">
        <v>245</v>
      </c>
      <c r="D46" s="11" t="s">
        <v>247</v>
      </c>
      <c r="E46" s="11" t="s">
        <v>264</v>
      </c>
      <c r="F46" s="11" t="s">
        <v>265</v>
      </c>
      <c r="H46" s="14">
        <f t="shared" si="0"/>
        <v>132</v>
      </c>
      <c r="I46" s="14"/>
      <c r="J46" s="14"/>
      <c r="K46" s="14"/>
    </row>
    <row r="47" spans="1:11">
      <c r="A47" s="10" t="s">
        <v>62</v>
      </c>
      <c r="B47" s="11" t="s">
        <v>6</v>
      </c>
      <c r="C47" s="11" t="s">
        <v>248</v>
      </c>
      <c r="D47" s="11" t="s">
        <v>249</v>
      </c>
      <c r="E47" s="11" t="s">
        <v>266</v>
      </c>
      <c r="F47" s="11" t="s">
        <v>267</v>
      </c>
      <c r="H47" s="14">
        <f t="shared" si="0"/>
        <v>136</v>
      </c>
      <c r="I47" s="14"/>
      <c r="J47" s="14"/>
      <c r="K47" s="14"/>
    </row>
    <row r="48" spans="1:11">
      <c r="A48" s="10" t="s">
        <v>63</v>
      </c>
      <c r="B48" s="11" t="s">
        <v>6</v>
      </c>
      <c r="C48" s="11" t="s">
        <v>250</v>
      </c>
      <c r="D48" s="11" t="s">
        <v>251</v>
      </c>
      <c r="E48" s="11" t="s">
        <v>268</v>
      </c>
      <c r="F48" s="11" t="s">
        <v>269</v>
      </c>
      <c r="H48" s="14">
        <f t="shared" si="0"/>
        <v>140</v>
      </c>
      <c r="I48" s="14"/>
      <c r="J48" s="14"/>
      <c r="K48" s="14"/>
    </row>
    <row r="49" spans="1:11">
      <c r="A49" s="10" t="s">
        <v>64</v>
      </c>
      <c r="B49" s="11" t="s">
        <v>6</v>
      </c>
      <c r="C49" s="11" t="s">
        <v>252</v>
      </c>
      <c r="D49" s="11" t="s">
        <v>253</v>
      </c>
      <c r="E49" s="11" t="s">
        <v>270</v>
      </c>
      <c r="F49" s="11" t="s">
        <v>271</v>
      </c>
      <c r="H49" s="14">
        <f t="shared" si="0"/>
        <v>144</v>
      </c>
      <c r="I49" s="14"/>
      <c r="J49" s="14"/>
      <c r="K49" s="14"/>
    </row>
    <row r="50" spans="1:11">
      <c r="A50" s="10" t="s">
        <v>65</v>
      </c>
      <c r="B50" s="11" t="s">
        <v>6</v>
      </c>
      <c r="C50" s="11" t="s">
        <v>254</v>
      </c>
      <c r="D50" s="11" t="s">
        <v>255</v>
      </c>
      <c r="E50" s="11" t="s">
        <v>272</v>
      </c>
      <c r="F50" s="11" t="s">
        <v>273</v>
      </c>
      <c r="H50" s="14">
        <f t="shared" si="0"/>
        <v>148</v>
      </c>
      <c r="I50" s="14"/>
      <c r="J50" s="14"/>
      <c r="K50" s="14"/>
    </row>
    <row r="51" spans="1:11">
      <c r="A51" s="10" t="s">
        <v>66</v>
      </c>
      <c r="B51" s="11" t="s">
        <v>6</v>
      </c>
      <c r="C51" s="11" t="s">
        <v>256</v>
      </c>
      <c r="D51" s="11" t="s">
        <v>257</v>
      </c>
      <c r="E51" s="11" t="s">
        <v>274</v>
      </c>
      <c r="F51" s="11" t="s">
        <v>275</v>
      </c>
      <c r="H51" s="14">
        <f t="shared" si="0"/>
        <v>152</v>
      </c>
      <c r="I51" s="14"/>
      <c r="J51" s="14"/>
      <c r="K51" s="14"/>
    </row>
    <row r="52" spans="1:11">
      <c r="A52" s="16" t="s">
        <v>67</v>
      </c>
      <c r="B52" s="17" t="s">
        <v>6</v>
      </c>
      <c r="C52" s="17" t="s">
        <v>276</v>
      </c>
      <c r="D52" s="17" t="s">
        <v>277</v>
      </c>
      <c r="E52" s="17" t="s">
        <v>279</v>
      </c>
      <c r="F52" s="17" t="s">
        <v>278</v>
      </c>
      <c r="H52" s="14">
        <f t="shared" si="0"/>
        <v>156</v>
      </c>
      <c r="I52" s="14"/>
      <c r="J52" s="14"/>
      <c r="K52" s="14"/>
    </row>
    <row r="53" spans="1:11">
      <c r="A53" s="16" t="s">
        <v>68</v>
      </c>
      <c r="B53" s="17" t="s">
        <v>6</v>
      </c>
      <c r="C53" s="18" t="s">
        <v>280</v>
      </c>
      <c r="D53" s="17" t="s">
        <v>283</v>
      </c>
      <c r="E53" s="17" t="s">
        <v>286</v>
      </c>
      <c r="F53" s="17" t="s">
        <v>287</v>
      </c>
      <c r="H53" s="14">
        <f t="shared" si="0"/>
        <v>160</v>
      </c>
      <c r="I53" s="14"/>
      <c r="J53" s="14"/>
      <c r="K53" s="14"/>
    </row>
    <row r="54" spans="1:11">
      <c r="A54" s="16" t="s">
        <v>69</v>
      </c>
      <c r="B54" s="17" t="s">
        <v>6</v>
      </c>
      <c r="C54" s="17" t="s">
        <v>281</v>
      </c>
      <c r="D54" s="17" t="s">
        <v>284</v>
      </c>
      <c r="E54" s="17" t="s">
        <v>288</v>
      </c>
      <c r="F54" s="17" t="s">
        <v>289</v>
      </c>
      <c r="H54" s="14">
        <f t="shared" si="0"/>
        <v>164</v>
      </c>
      <c r="I54" s="14"/>
      <c r="J54" s="14"/>
      <c r="K54" s="14"/>
    </row>
    <row r="55" spans="1:11">
      <c r="A55" s="16" t="s">
        <v>70</v>
      </c>
      <c r="B55" s="17" t="s">
        <v>6</v>
      </c>
      <c r="C55" s="17" t="s">
        <v>282</v>
      </c>
      <c r="D55" s="17" t="s">
        <v>285</v>
      </c>
      <c r="E55" s="17" t="s">
        <v>290</v>
      </c>
      <c r="F55" s="17" t="s">
        <v>291</v>
      </c>
      <c r="H55" s="14">
        <f t="shared" si="0"/>
        <v>168</v>
      </c>
      <c r="I55" s="14"/>
      <c r="J55" s="14"/>
      <c r="K55" s="14"/>
    </row>
    <row r="56" spans="1:11">
      <c r="A56" s="16" t="s">
        <v>71</v>
      </c>
      <c r="B56" s="17" t="s">
        <v>6</v>
      </c>
      <c r="C56" s="17" t="s">
        <v>292</v>
      </c>
      <c r="D56" s="17" t="s">
        <v>293</v>
      </c>
      <c r="E56" s="17" t="s">
        <v>294</v>
      </c>
      <c r="F56" s="17" t="s">
        <v>295</v>
      </c>
      <c r="H56" s="14">
        <f t="shared" si="0"/>
        <v>172</v>
      </c>
      <c r="I56" s="14"/>
      <c r="J56" s="14"/>
      <c r="K56" s="14"/>
    </row>
    <row r="57" spans="1:11">
      <c r="A57" s="16" t="s">
        <v>72</v>
      </c>
      <c r="B57" s="17" t="s">
        <v>6</v>
      </c>
      <c r="C57" s="17" t="s">
        <v>296</v>
      </c>
      <c r="D57" s="17" t="s">
        <v>297</v>
      </c>
      <c r="E57" s="17" t="s">
        <v>306</v>
      </c>
      <c r="F57" s="17" t="s">
        <v>307</v>
      </c>
      <c r="H57" s="14">
        <f t="shared" si="0"/>
        <v>176</v>
      </c>
      <c r="I57" s="14"/>
      <c r="J57" s="14"/>
      <c r="K57" s="14"/>
    </row>
    <row r="58" spans="1:11">
      <c r="A58" s="16" t="s">
        <v>73</v>
      </c>
      <c r="B58" s="17" t="s">
        <v>6</v>
      </c>
      <c r="C58" s="17" t="s">
        <v>298</v>
      </c>
      <c r="D58" s="17" t="s">
        <v>299</v>
      </c>
      <c r="E58" s="17" t="s">
        <v>308</v>
      </c>
      <c r="F58" s="17" t="s">
        <v>309</v>
      </c>
      <c r="H58" s="14">
        <f t="shared" si="0"/>
        <v>180</v>
      </c>
      <c r="I58" s="14"/>
      <c r="J58" s="14"/>
      <c r="K58" s="14"/>
    </row>
    <row r="59" spans="1:11">
      <c r="A59" s="16" t="s">
        <v>74</v>
      </c>
      <c r="B59" s="17" t="s">
        <v>6</v>
      </c>
      <c r="C59" s="17" t="s">
        <v>300</v>
      </c>
      <c r="D59" s="17" t="s">
        <v>301</v>
      </c>
      <c r="E59" s="17" t="s">
        <v>310</v>
      </c>
      <c r="F59" s="17" t="s">
        <v>311</v>
      </c>
      <c r="H59" s="14">
        <f t="shared" si="0"/>
        <v>184</v>
      </c>
      <c r="I59" s="14"/>
      <c r="J59" s="14"/>
      <c r="K59" s="14"/>
    </row>
    <row r="60" spans="1:11">
      <c r="A60" s="16" t="s">
        <v>75</v>
      </c>
      <c r="B60" s="17" t="s">
        <v>6</v>
      </c>
      <c r="C60" s="17" t="s">
        <v>302</v>
      </c>
      <c r="D60" s="17" t="s">
        <v>303</v>
      </c>
      <c r="E60" s="17" t="s">
        <v>312</v>
      </c>
      <c r="F60" s="17" t="s">
        <v>313</v>
      </c>
      <c r="H60" s="14">
        <f t="shared" si="0"/>
        <v>188</v>
      </c>
      <c r="I60" s="14"/>
      <c r="J60" s="14"/>
      <c r="K60" s="14"/>
    </row>
    <row r="61" spans="1:11">
      <c r="A61" s="16" t="s">
        <v>76</v>
      </c>
      <c r="B61" s="17" t="s">
        <v>6</v>
      </c>
      <c r="C61" s="17" t="s">
        <v>304</v>
      </c>
      <c r="D61" s="17" t="s">
        <v>305</v>
      </c>
      <c r="E61" s="17" t="s">
        <v>314</v>
      </c>
      <c r="F61" s="17" t="s">
        <v>315</v>
      </c>
      <c r="H61" s="14">
        <f t="shared" si="0"/>
        <v>192</v>
      </c>
      <c r="I61" s="14"/>
      <c r="J61" s="14"/>
      <c r="K61" s="14"/>
    </row>
    <row r="62" spans="1:11">
      <c r="H62" s="14">
        <f t="shared" si="0"/>
        <v>196</v>
      </c>
      <c r="I62" s="14"/>
      <c r="J62" s="14"/>
      <c r="K62" s="14"/>
    </row>
    <row r="63" spans="1:11">
      <c r="H63" s="14">
        <f t="shared" si="0"/>
        <v>200</v>
      </c>
      <c r="I63" s="14"/>
      <c r="J63" s="14"/>
      <c r="K63" s="14"/>
    </row>
    <row r="64" spans="1:11">
      <c r="H64" s="14">
        <f t="shared" si="0"/>
        <v>204</v>
      </c>
      <c r="I64" s="14"/>
      <c r="J64" s="14"/>
      <c r="K64" s="14"/>
    </row>
    <row r="65" spans="8:11">
      <c r="H65" s="14">
        <f t="shared" si="0"/>
        <v>208</v>
      </c>
      <c r="I65" s="14"/>
      <c r="J65" s="14"/>
      <c r="K65" s="14"/>
    </row>
    <row r="66" spans="8:11">
      <c r="H66" s="14">
        <f t="shared" si="0"/>
        <v>212</v>
      </c>
      <c r="I66" s="14"/>
      <c r="J66" s="14"/>
      <c r="K66" s="14"/>
    </row>
    <row r="67" spans="8:11">
      <c r="H67" s="14">
        <f t="shared" si="0"/>
        <v>216</v>
      </c>
      <c r="I67" s="14"/>
      <c r="J67" s="14"/>
      <c r="K67" s="14"/>
    </row>
    <row r="68" spans="8:11">
      <c r="H68" s="14">
        <f t="shared" si="0"/>
        <v>220</v>
      </c>
      <c r="I68" s="14"/>
      <c r="J68" s="14"/>
      <c r="K68" s="14"/>
    </row>
    <row r="69" spans="8:11">
      <c r="H69" s="14">
        <f t="shared" si="0"/>
        <v>224</v>
      </c>
      <c r="I69" s="14"/>
      <c r="J69" s="14"/>
      <c r="K69" s="14"/>
    </row>
    <row r="70" spans="8:11">
      <c r="H70" s="14">
        <f t="shared" si="0"/>
        <v>228</v>
      </c>
      <c r="I70" s="14"/>
      <c r="J70" s="14"/>
      <c r="K70" s="14"/>
    </row>
    <row r="71" spans="8:11">
      <c r="H71" s="14">
        <f t="shared" si="0"/>
        <v>232</v>
      </c>
      <c r="I71" s="14"/>
      <c r="J71" s="14"/>
      <c r="K71" s="14"/>
    </row>
    <row r="72" spans="8:11">
      <c r="H72" s="14">
        <f t="shared" si="0"/>
        <v>236</v>
      </c>
      <c r="I72" s="14"/>
      <c r="J72" s="14"/>
      <c r="K72" s="14"/>
    </row>
    <row r="73" spans="8:11">
      <c r="H73" s="14">
        <f t="shared" si="0"/>
        <v>240</v>
      </c>
      <c r="I73" s="14"/>
      <c r="J73" s="14"/>
      <c r="K73" s="14"/>
    </row>
    <row r="74" spans="8:11">
      <c r="H74" s="14">
        <f t="shared" si="0"/>
        <v>244</v>
      </c>
      <c r="I74" s="14"/>
      <c r="J74" s="14"/>
      <c r="K74" s="14"/>
    </row>
    <row r="75" spans="8:11">
      <c r="H75" s="14">
        <f t="shared" si="0"/>
        <v>248</v>
      </c>
      <c r="I75" s="14"/>
      <c r="J75" s="14"/>
      <c r="K75" s="14"/>
    </row>
    <row r="76" spans="8:11">
      <c r="H76" s="14">
        <f t="shared" si="0"/>
        <v>252</v>
      </c>
      <c r="I76" s="14"/>
      <c r="J76" s="14"/>
      <c r="K76" s="14"/>
    </row>
    <row r="77" spans="8:11">
      <c r="H77" s="14">
        <f t="shared" si="0"/>
        <v>256</v>
      </c>
      <c r="I77" s="14"/>
      <c r="J77" s="14"/>
      <c r="K77" s="14"/>
    </row>
  </sheetData>
  <mergeCells count="1">
    <mergeCell ref="J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FD3-BBD7-4899-883A-8196F55ED021}">
  <dimension ref="A1:F11"/>
  <sheetViews>
    <sheetView tabSelected="1" workbookViewId="0">
      <selection activeCell="I9" sqref="I9"/>
    </sheetView>
  </sheetViews>
  <sheetFormatPr defaultRowHeight="14.4"/>
  <cols>
    <col min="1" max="1" width="14" customWidth="1"/>
    <col min="2" max="3" width="15.77734375" customWidth="1"/>
    <col min="4" max="4" width="19.44140625" customWidth="1"/>
    <col min="5" max="5" width="17.88671875" customWidth="1"/>
    <col min="6" max="6" width="20.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8" t="s">
        <v>47</v>
      </c>
      <c r="B2" s="8" t="s">
        <v>6</v>
      </c>
      <c r="C2" s="9" t="s">
        <v>174</v>
      </c>
      <c r="D2" s="9" t="s">
        <v>181</v>
      </c>
      <c r="E2" s="9" t="s">
        <v>198</v>
      </c>
      <c r="F2" s="9" t="s">
        <v>199</v>
      </c>
    </row>
    <row r="3" spans="1:6">
      <c r="A3" s="8" t="s">
        <v>48</v>
      </c>
      <c r="B3" s="8" t="s">
        <v>6</v>
      </c>
      <c r="C3" s="9" t="s">
        <v>200</v>
      </c>
      <c r="D3" s="9" t="s">
        <v>201</v>
      </c>
      <c r="E3" s="9" t="s">
        <v>218</v>
      </c>
      <c r="F3" s="9" t="s">
        <v>219</v>
      </c>
    </row>
    <row r="4" spans="1:6">
      <c r="A4" s="8" t="s">
        <v>49</v>
      </c>
      <c r="B4" s="8" t="s">
        <v>6</v>
      </c>
      <c r="C4" s="9" t="s">
        <v>202</v>
      </c>
      <c r="D4" s="9" t="s">
        <v>203</v>
      </c>
      <c r="E4" s="9" t="s">
        <v>220</v>
      </c>
      <c r="F4" s="9" t="s">
        <v>221</v>
      </c>
    </row>
    <row r="5" spans="1:6">
      <c r="A5" s="8" t="s">
        <v>50</v>
      </c>
      <c r="B5" s="8" t="s">
        <v>6</v>
      </c>
      <c r="C5" s="9" t="s">
        <v>204</v>
      </c>
      <c r="D5" s="9" t="s">
        <v>205</v>
      </c>
      <c r="E5" s="9" t="s">
        <v>222</v>
      </c>
      <c r="F5" s="9" t="s">
        <v>223</v>
      </c>
    </row>
    <row r="6" spans="1:6">
      <c r="A6" s="8" t="s">
        <v>51</v>
      </c>
      <c r="B6" s="8" t="s">
        <v>6</v>
      </c>
      <c r="C6" s="9" t="s">
        <v>206</v>
      </c>
      <c r="D6" s="9" t="s">
        <v>207</v>
      </c>
      <c r="E6" s="9" t="s">
        <v>224</v>
      </c>
      <c r="F6" s="9" t="s">
        <v>225</v>
      </c>
    </row>
    <row r="7" spans="1:6">
      <c r="A7" s="8" t="s">
        <v>52</v>
      </c>
      <c r="B7" s="8" t="s">
        <v>6</v>
      </c>
      <c r="C7" s="9" t="s">
        <v>208</v>
      </c>
      <c r="D7" s="9" t="s">
        <v>209</v>
      </c>
      <c r="E7" s="9" t="s">
        <v>226</v>
      </c>
      <c r="F7" s="9" t="s">
        <v>227</v>
      </c>
    </row>
    <row r="8" spans="1:6">
      <c r="A8" s="8" t="s">
        <v>53</v>
      </c>
      <c r="B8" s="8" t="s">
        <v>6</v>
      </c>
      <c r="C8" s="9" t="s">
        <v>210</v>
      </c>
      <c r="D8" s="9" t="s">
        <v>211</v>
      </c>
      <c r="E8" s="9" t="s">
        <v>228</v>
      </c>
      <c r="F8" s="9" t="s">
        <v>229</v>
      </c>
    </row>
    <row r="9" spans="1:6">
      <c r="A9" s="8" t="s">
        <v>54</v>
      </c>
      <c r="B9" s="8" t="s">
        <v>6</v>
      </c>
      <c r="C9" s="9" t="s">
        <v>212</v>
      </c>
      <c r="D9" s="9" t="s">
        <v>213</v>
      </c>
      <c r="E9" s="9" t="s">
        <v>230</v>
      </c>
      <c r="F9" s="9" t="s">
        <v>231</v>
      </c>
    </row>
    <row r="10" spans="1:6">
      <c r="A10" s="8" t="s">
        <v>55</v>
      </c>
      <c r="B10" s="8" t="s">
        <v>6</v>
      </c>
      <c r="C10" s="9" t="s">
        <v>214</v>
      </c>
      <c r="D10" s="9" t="s">
        <v>215</v>
      </c>
      <c r="E10" s="9" t="s">
        <v>232</v>
      </c>
      <c r="F10" s="9" t="s">
        <v>233</v>
      </c>
    </row>
    <row r="11" spans="1:6">
      <c r="A11" s="8" t="s">
        <v>56</v>
      </c>
      <c r="B11" s="8" t="s">
        <v>6</v>
      </c>
      <c r="C11" s="9" t="s">
        <v>216</v>
      </c>
      <c r="D11" s="9" t="s">
        <v>217</v>
      </c>
      <c r="E11" s="9" t="s">
        <v>234</v>
      </c>
      <c r="F11" s="9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5C0A-0BAA-40B8-BE50-5564D19DB230}">
  <dimension ref="A1:G13"/>
  <sheetViews>
    <sheetView workbookViewId="0"/>
  </sheetViews>
  <sheetFormatPr defaultRowHeight="14.4"/>
  <cols>
    <col min="1" max="1" width="18.33203125" customWidth="1"/>
    <col min="2" max="2" width="16.33203125" customWidth="1"/>
    <col min="3" max="3" width="14.88671875" customWidth="1"/>
    <col min="4" max="4" width="19.5546875" customWidth="1"/>
    <col min="5" max="5" width="19.44140625" customWidth="1"/>
    <col min="6" max="6" width="20.77734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316</v>
      </c>
    </row>
    <row r="2" spans="1:7">
      <c r="A2" s="14" t="s">
        <v>357</v>
      </c>
      <c r="B2" s="14" t="s">
        <v>7</v>
      </c>
      <c r="C2" s="14" t="s">
        <v>317</v>
      </c>
      <c r="D2" s="14" t="s">
        <v>318</v>
      </c>
      <c r="E2" s="14" t="s">
        <v>322</v>
      </c>
      <c r="F2" s="14" t="s">
        <v>323</v>
      </c>
      <c r="G2" s="14" t="s">
        <v>13</v>
      </c>
    </row>
    <row r="3" spans="1:7">
      <c r="A3" s="14" t="s">
        <v>358</v>
      </c>
      <c r="B3" s="14" t="s">
        <v>6</v>
      </c>
      <c r="C3" s="14" t="s">
        <v>324</v>
      </c>
      <c r="D3" s="14" t="s">
        <v>325</v>
      </c>
      <c r="E3" s="14" t="s">
        <v>326</v>
      </c>
      <c r="F3" s="14" t="s">
        <v>327</v>
      </c>
      <c r="G3" s="14" t="s">
        <v>14</v>
      </c>
    </row>
    <row r="4" spans="1:7">
      <c r="A4" s="14" t="s">
        <v>359</v>
      </c>
      <c r="B4" s="14" t="s">
        <v>6</v>
      </c>
      <c r="C4" s="14" t="s">
        <v>328</v>
      </c>
      <c r="D4" s="14" t="s">
        <v>329</v>
      </c>
      <c r="E4" s="14" t="s">
        <v>330</v>
      </c>
      <c r="F4" s="14" t="s">
        <v>331</v>
      </c>
      <c r="G4" s="14" t="s">
        <v>14</v>
      </c>
    </row>
    <row r="5" spans="1:7">
      <c r="A5" s="14" t="s">
        <v>360</v>
      </c>
      <c r="B5" s="14" t="s">
        <v>6</v>
      </c>
      <c r="C5" s="14" t="s">
        <v>332</v>
      </c>
      <c r="D5" s="14" t="s">
        <v>333</v>
      </c>
      <c r="E5" s="14" t="s">
        <v>365</v>
      </c>
      <c r="F5" s="14" t="s">
        <v>366</v>
      </c>
      <c r="G5" s="14" t="s">
        <v>14</v>
      </c>
    </row>
    <row r="6" spans="1:7">
      <c r="A6" s="14" t="s">
        <v>361</v>
      </c>
      <c r="B6" s="14" t="s">
        <v>6</v>
      </c>
      <c r="C6" s="14" t="s">
        <v>363</v>
      </c>
      <c r="D6" s="14" t="s">
        <v>384</v>
      </c>
      <c r="E6" s="14" t="s">
        <v>334</v>
      </c>
      <c r="F6" s="14" t="s">
        <v>335</v>
      </c>
      <c r="G6" s="14" t="s">
        <v>14</v>
      </c>
    </row>
    <row r="7" spans="1:7">
      <c r="A7" s="14" t="s">
        <v>362</v>
      </c>
      <c r="B7" s="14" t="s">
        <v>6</v>
      </c>
      <c r="C7" s="14" t="s">
        <v>364</v>
      </c>
      <c r="D7" s="14" t="s">
        <v>367</v>
      </c>
      <c r="E7" s="14" t="s">
        <v>369</v>
      </c>
      <c r="F7" s="14" t="s">
        <v>368</v>
      </c>
      <c r="G7" s="14" t="s">
        <v>15</v>
      </c>
    </row>
    <row r="8" spans="1:7">
      <c r="A8" s="14" t="s">
        <v>370</v>
      </c>
      <c r="B8" s="14" t="s">
        <v>336</v>
      </c>
      <c r="C8" s="14" t="s">
        <v>341</v>
      </c>
      <c r="D8" s="14" t="s">
        <v>342</v>
      </c>
      <c r="E8" s="14" t="s">
        <v>343</v>
      </c>
      <c r="F8" s="14" t="s">
        <v>344</v>
      </c>
      <c r="G8" s="14" t="s">
        <v>15</v>
      </c>
    </row>
    <row r="9" spans="1:7">
      <c r="A9" s="14" t="s">
        <v>371</v>
      </c>
      <c r="B9" s="14" t="s">
        <v>336</v>
      </c>
      <c r="C9" s="14" t="s">
        <v>337</v>
      </c>
      <c r="D9" s="14" t="s">
        <v>338</v>
      </c>
      <c r="E9" s="14" t="s">
        <v>339</v>
      </c>
      <c r="F9" s="14" t="s">
        <v>340</v>
      </c>
      <c r="G9" s="14" t="s">
        <v>15</v>
      </c>
    </row>
    <row r="10" spans="1:7">
      <c r="A10" s="14" t="s">
        <v>372</v>
      </c>
      <c r="B10" s="14" t="s">
        <v>336</v>
      </c>
      <c r="C10" s="14" t="s">
        <v>345</v>
      </c>
      <c r="D10" s="14" t="s">
        <v>346</v>
      </c>
      <c r="E10" s="14" t="s">
        <v>347</v>
      </c>
      <c r="F10" s="14" t="s">
        <v>348</v>
      </c>
      <c r="G10" s="14" t="s">
        <v>15</v>
      </c>
    </row>
    <row r="11" spans="1:7">
      <c r="A11" s="14" t="s">
        <v>373</v>
      </c>
      <c r="B11" s="14" t="s">
        <v>336</v>
      </c>
      <c r="C11" s="14" t="s">
        <v>353</v>
      </c>
      <c r="D11" s="14" t="s">
        <v>354</v>
      </c>
      <c r="E11" s="14" t="s">
        <v>355</v>
      </c>
      <c r="F11" s="14" t="s">
        <v>356</v>
      </c>
      <c r="G11" s="14" t="s">
        <v>15</v>
      </c>
    </row>
    <row r="12" spans="1:7">
      <c r="A12" s="14" t="s">
        <v>374</v>
      </c>
      <c r="B12" s="14" t="s">
        <v>336</v>
      </c>
      <c r="C12" s="14" t="s">
        <v>349</v>
      </c>
      <c r="D12" s="14" t="s">
        <v>350</v>
      </c>
      <c r="E12" s="14" t="s">
        <v>351</v>
      </c>
      <c r="F12" s="14" t="s">
        <v>352</v>
      </c>
      <c r="G12" s="14" t="s">
        <v>15</v>
      </c>
    </row>
    <row r="13" spans="1:7">
      <c r="A13" s="14" t="s">
        <v>375</v>
      </c>
      <c r="B13" s="14" t="s">
        <v>336</v>
      </c>
      <c r="C13" s="14" t="s">
        <v>376</v>
      </c>
      <c r="D13" s="14" t="s">
        <v>377</v>
      </c>
      <c r="E13" s="14" t="s">
        <v>378</v>
      </c>
      <c r="F13" s="14" t="s">
        <v>379</v>
      </c>
      <c r="G13" s="14" t="s"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B946-428A-410E-9C8C-9F67989A7151}">
  <dimension ref="A1:H17"/>
  <sheetViews>
    <sheetView workbookViewId="0">
      <selection activeCell="E2" sqref="E2"/>
    </sheetView>
  </sheetViews>
  <sheetFormatPr defaultRowHeight="14.4"/>
  <cols>
    <col min="1" max="1" width="17.21875" customWidth="1"/>
    <col min="2" max="2" width="14.21875" customWidth="1"/>
    <col min="5" max="5" width="16.5546875" customWidth="1"/>
    <col min="6" max="6" width="12.5546875" customWidth="1"/>
    <col min="7" max="7" width="12.77734375" customWidth="1"/>
    <col min="8" max="8" width="14.33203125" customWidth="1"/>
    <col min="9" max="9" width="11.77734375" customWidth="1"/>
  </cols>
  <sheetData>
    <row r="1" spans="1:8">
      <c r="A1" s="1" t="s">
        <v>0</v>
      </c>
      <c r="B1" s="1" t="s">
        <v>380</v>
      </c>
    </row>
    <row r="2" spans="1:8">
      <c r="A2" s="14" t="s">
        <v>390</v>
      </c>
      <c r="B2" s="14" t="s">
        <v>318</v>
      </c>
    </row>
    <row r="3" spans="1:8">
      <c r="A3" s="14" t="s">
        <v>391</v>
      </c>
      <c r="B3" s="14" t="s">
        <v>386</v>
      </c>
    </row>
    <row r="4" spans="1:8">
      <c r="A4" s="14" t="s">
        <v>392</v>
      </c>
      <c r="B4" s="14" t="s">
        <v>387</v>
      </c>
    </row>
    <row r="5" spans="1:8">
      <c r="A5" s="14" t="s">
        <v>393</v>
      </c>
      <c r="B5" s="14" t="s">
        <v>388</v>
      </c>
    </row>
    <row r="6" spans="1:8">
      <c r="A6" s="14" t="s">
        <v>394</v>
      </c>
      <c r="B6" s="14" t="s">
        <v>389</v>
      </c>
      <c r="E6" s="1" t="s">
        <v>0</v>
      </c>
      <c r="F6" s="1" t="s">
        <v>437</v>
      </c>
      <c r="G6" s="1" t="s">
        <v>438</v>
      </c>
      <c r="H6" s="1" t="s">
        <v>439</v>
      </c>
    </row>
    <row r="7" spans="1:8">
      <c r="A7" s="14" t="s">
        <v>395</v>
      </c>
      <c r="B7" s="14" t="s">
        <v>319</v>
      </c>
      <c r="E7" s="19" t="s">
        <v>390</v>
      </c>
      <c r="F7" s="20" t="s">
        <v>400</v>
      </c>
      <c r="G7" s="20" t="s">
        <v>78</v>
      </c>
      <c r="H7" s="20" t="s">
        <v>79</v>
      </c>
    </row>
    <row r="8" spans="1:8">
      <c r="A8" s="14" t="s">
        <v>396</v>
      </c>
      <c r="B8" s="14" t="s">
        <v>320</v>
      </c>
      <c r="E8" s="21" t="s">
        <v>390</v>
      </c>
      <c r="F8" s="20" t="s">
        <v>401</v>
      </c>
      <c r="G8" s="20" t="s">
        <v>97</v>
      </c>
      <c r="H8" s="20" t="s">
        <v>95</v>
      </c>
    </row>
    <row r="9" spans="1:8">
      <c r="A9" s="14" t="s">
        <v>397</v>
      </c>
      <c r="B9" s="14" t="s">
        <v>321</v>
      </c>
      <c r="E9" s="22" t="s">
        <v>402</v>
      </c>
      <c r="F9" s="9" t="s">
        <v>406</v>
      </c>
      <c r="G9" s="9" t="s">
        <v>105</v>
      </c>
      <c r="H9" s="9" t="s">
        <v>99</v>
      </c>
    </row>
    <row r="10" spans="1:8">
      <c r="A10" s="14" t="s">
        <v>398</v>
      </c>
      <c r="B10" s="14" t="s">
        <v>407</v>
      </c>
      <c r="E10" s="23" t="s">
        <v>391</v>
      </c>
      <c r="F10" s="9" t="s">
        <v>400</v>
      </c>
      <c r="G10" s="9" t="s">
        <v>93</v>
      </c>
      <c r="H10" s="9" t="s">
        <v>94</v>
      </c>
    </row>
    <row r="11" spans="1:8">
      <c r="A11" s="14" t="s">
        <v>399</v>
      </c>
      <c r="B11" s="31" t="s">
        <v>408</v>
      </c>
      <c r="E11" s="24" t="s">
        <v>392</v>
      </c>
      <c r="F11" s="5" t="s">
        <v>400</v>
      </c>
      <c r="G11" s="5" t="s">
        <v>107</v>
      </c>
      <c r="H11" s="5" t="s">
        <v>100</v>
      </c>
    </row>
    <row r="12" spans="1:8">
      <c r="A12" s="14" t="s">
        <v>409</v>
      </c>
      <c r="B12" s="14" t="s">
        <v>413</v>
      </c>
      <c r="E12" s="25" t="s">
        <v>394</v>
      </c>
      <c r="F12" s="26" t="s">
        <v>400</v>
      </c>
      <c r="G12" s="26" t="s">
        <v>109</v>
      </c>
      <c r="H12" s="26" t="s">
        <v>101</v>
      </c>
    </row>
    <row r="13" spans="1:8">
      <c r="A13" s="14" t="s">
        <v>410</v>
      </c>
      <c r="B13" s="14" t="s">
        <v>414</v>
      </c>
      <c r="E13" s="27" t="s">
        <v>403</v>
      </c>
      <c r="F13" s="26" t="s">
        <v>406</v>
      </c>
      <c r="G13" s="26" t="s">
        <v>111</v>
      </c>
      <c r="H13" s="26" t="s">
        <v>102</v>
      </c>
    </row>
    <row r="14" spans="1:8">
      <c r="E14" s="28" t="s">
        <v>395</v>
      </c>
      <c r="F14" s="28" t="s">
        <v>400</v>
      </c>
      <c r="G14" s="28" t="s">
        <v>113</v>
      </c>
      <c r="H14" s="28" t="s">
        <v>103</v>
      </c>
    </row>
    <row r="15" spans="1:8">
      <c r="E15" s="29" t="s">
        <v>396</v>
      </c>
      <c r="F15" s="29" t="s">
        <v>400</v>
      </c>
      <c r="G15" s="29" t="s">
        <v>115</v>
      </c>
      <c r="H15" s="29" t="s">
        <v>104</v>
      </c>
    </row>
    <row r="16" spans="1:8">
      <c r="A16" s="14" t="s">
        <v>411</v>
      </c>
      <c r="B16" t="s">
        <v>415</v>
      </c>
      <c r="E16" s="30" t="s">
        <v>397</v>
      </c>
      <c r="F16" s="30" t="s">
        <v>400</v>
      </c>
      <c r="G16" s="30" t="s">
        <v>405</v>
      </c>
      <c r="H16" s="30" t="s">
        <v>404</v>
      </c>
    </row>
    <row r="17" spans="1:2">
      <c r="A17" s="14" t="s">
        <v>412</v>
      </c>
      <c r="B17" t="s">
        <v>416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BAA7-FEC7-4DAD-84D3-0A8D7C52A5B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CD7E-9373-490E-A3D3-824E8B678299}">
  <dimension ref="A1:H11"/>
  <sheetViews>
    <sheetView workbookViewId="0">
      <selection activeCell="G27" sqref="G27"/>
    </sheetView>
  </sheetViews>
  <sheetFormatPr defaultRowHeight="14.4"/>
  <cols>
    <col min="1" max="1" width="12.88671875" customWidth="1"/>
    <col min="2" max="2" width="15.88671875" customWidth="1"/>
    <col min="5" max="5" width="15.21875" customWidth="1"/>
    <col min="6" max="6" width="15.5546875" customWidth="1"/>
    <col min="7" max="7" width="16.21875" customWidth="1"/>
    <col min="8" max="8" width="14.88671875" customWidth="1"/>
  </cols>
  <sheetData>
    <row r="1" spans="1:8">
      <c r="A1" s="1" t="s">
        <v>0</v>
      </c>
      <c r="B1" s="1" t="s">
        <v>380</v>
      </c>
      <c r="E1" s="1" t="s">
        <v>0</v>
      </c>
      <c r="F1" s="1" t="s">
        <v>437</v>
      </c>
      <c r="G1" s="1" t="s">
        <v>438</v>
      </c>
      <c r="H1" s="1" t="s">
        <v>439</v>
      </c>
    </row>
    <row r="2" spans="1:8">
      <c r="A2" s="14" t="s">
        <v>417</v>
      </c>
      <c r="B2" s="14" t="s">
        <v>325</v>
      </c>
      <c r="E2" s="33" t="s">
        <v>417</v>
      </c>
      <c r="F2" s="34" t="s">
        <v>400</v>
      </c>
      <c r="G2" s="35" t="s">
        <v>135</v>
      </c>
      <c r="H2" s="35" t="s">
        <v>118</v>
      </c>
    </row>
    <row r="3" spans="1:8">
      <c r="A3" s="14" t="s">
        <v>418</v>
      </c>
      <c r="B3" s="14" t="s">
        <v>445</v>
      </c>
      <c r="E3" s="36" t="s">
        <v>417</v>
      </c>
      <c r="F3" s="37" t="s">
        <v>401</v>
      </c>
      <c r="G3" s="35" t="s">
        <v>119</v>
      </c>
      <c r="H3" s="35" t="s">
        <v>137</v>
      </c>
    </row>
    <row r="4" spans="1:8">
      <c r="A4" s="14" t="s">
        <v>419</v>
      </c>
      <c r="B4" s="14" t="s">
        <v>446</v>
      </c>
      <c r="E4" s="38" t="s">
        <v>417</v>
      </c>
      <c r="F4" s="39" t="s">
        <v>461</v>
      </c>
      <c r="G4" s="35" t="s">
        <v>143</v>
      </c>
      <c r="H4" s="35" t="s">
        <v>122</v>
      </c>
    </row>
    <row r="5" spans="1:8">
      <c r="A5" s="14" t="s">
        <v>420</v>
      </c>
      <c r="B5" s="14" t="s">
        <v>447</v>
      </c>
      <c r="E5" s="40" t="s">
        <v>418</v>
      </c>
      <c r="F5" s="41" t="s">
        <v>400</v>
      </c>
      <c r="G5" s="42" t="s">
        <v>145</v>
      </c>
      <c r="H5" s="42" t="s">
        <v>138</v>
      </c>
    </row>
    <row r="6" spans="1:8">
      <c r="A6" s="14" t="s">
        <v>421</v>
      </c>
      <c r="B6" s="14" t="s">
        <v>448</v>
      </c>
      <c r="E6" s="43" t="s">
        <v>418</v>
      </c>
      <c r="F6" s="44" t="s">
        <v>401</v>
      </c>
      <c r="G6" s="42" t="s">
        <v>147</v>
      </c>
      <c r="H6" s="42" t="s">
        <v>139</v>
      </c>
    </row>
    <row r="7" spans="1:8">
      <c r="E7" s="24" t="s">
        <v>419</v>
      </c>
      <c r="F7" s="32" t="s">
        <v>400</v>
      </c>
      <c r="G7" s="5" t="s">
        <v>149</v>
      </c>
      <c r="H7" s="5" t="s">
        <v>140</v>
      </c>
    </row>
    <row r="8" spans="1:8">
      <c r="E8" s="24" t="s">
        <v>419</v>
      </c>
      <c r="F8" s="32" t="s">
        <v>401</v>
      </c>
      <c r="G8" s="5" t="s">
        <v>151</v>
      </c>
      <c r="H8" s="5" t="s">
        <v>124</v>
      </c>
    </row>
    <row r="9" spans="1:8">
      <c r="E9" s="45" t="s">
        <v>420</v>
      </c>
      <c r="F9" s="46" t="s">
        <v>400</v>
      </c>
      <c r="G9" s="47" t="s">
        <v>153</v>
      </c>
      <c r="H9" s="47" t="s">
        <v>141</v>
      </c>
    </row>
    <row r="10" spans="1:8">
      <c r="E10" s="48" t="s">
        <v>420</v>
      </c>
      <c r="F10" s="49" t="s">
        <v>401</v>
      </c>
      <c r="G10" s="47" t="s">
        <v>155</v>
      </c>
      <c r="H10" s="47" t="s">
        <v>142</v>
      </c>
    </row>
    <row r="11" spans="1:8">
      <c r="E11" s="50" t="s">
        <v>420</v>
      </c>
      <c r="F11" s="51" t="s">
        <v>461</v>
      </c>
      <c r="G11" s="47" t="s">
        <v>133</v>
      </c>
      <c r="H11" s="47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9F1C-0A81-45B7-B18F-63449FE43294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61A5-B10F-4B94-BB77-6AB2109D0F16}">
  <dimension ref="A1:H11"/>
  <sheetViews>
    <sheetView workbookViewId="0">
      <selection activeCell="K14" sqref="K14"/>
    </sheetView>
  </sheetViews>
  <sheetFormatPr defaultRowHeight="14.4"/>
  <cols>
    <col min="1" max="1" width="14.21875" customWidth="1"/>
    <col min="2" max="2" width="14.44140625" customWidth="1"/>
    <col min="5" max="5" width="14.77734375" customWidth="1"/>
    <col min="6" max="7" width="13.77734375" customWidth="1"/>
    <col min="8" max="8" width="16" customWidth="1"/>
  </cols>
  <sheetData>
    <row r="1" spans="1:8">
      <c r="A1" s="1" t="s">
        <v>0</v>
      </c>
      <c r="B1" s="1" t="s">
        <v>380</v>
      </c>
      <c r="E1" s="1" t="s">
        <v>0</v>
      </c>
      <c r="F1" s="1" t="s">
        <v>437</v>
      </c>
      <c r="G1" s="1" t="s">
        <v>438</v>
      </c>
      <c r="H1" s="1" t="s">
        <v>439</v>
      </c>
    </row>
    <row r="2" spans="1:8">
      <c r="A2" s="14" t="s">
        <v>422</v>
      </c>
      <c r="B2" s="14" t="s">
        <v>384</v>
      </c>
      <c r="E2" s="33" t="s">
        <v>422</v>
      </c>
      <c r="F2" s="34" t="s">
        <v>400</v>
      </c>
      <c r="G2" s="52" t="s">
        <v>238</v>
      </c>
      <c r="H2" s="52" t="s">
        <v>237</v>
      </c>
    </row>
    <row r="3" spans="1:8">
      <c r="A3" s="14" t="s">
        <v>426</v>
      </c>
      <c r="B3" s="14" t="s">
        <v>385</v>
      </c>
      <c r="E3" s="36" t="s">
        <v>422</v>
      </c>
      <c r="F3" s="37" t="s">
        <v>401</v>
      </c>
      <c r="G3" s="52" t="s">
        <v>258</v>
      </c>
      <c r="H3" s="52" t="s">
        <v>241</v>
      </c>
    </row>
    <row r="4" spans="1:8">
      <c r="A4" s="14" t="s">
        <v>425</v>
      </c>
      <c r="B4" s="14" t="s">
        <v>449</v>
      </c>
      <c r="E4" s="38" t="s">
        <v>422</v>
      </c>
      <c r="F4" s="39" t="s">
        <v>461</v>
      </c>
      <c r="G4" s="52" t="s">
        <v>260</v>
      </c>
      <c r="H4" s="52" t="s">
        <v>243</v>
      </c>
    </row>
    <row r="5" spans="1:8">
      <c r="A5" s="14" t="s">
        <v>424</v>
      </c>
      <c r="B5" s="14" t="s">
        <v>450</v>
      </c>
      <c r="E5" s="40" t="s">
        <v>426</v>
      </c>
      <c r="F5" s="41" t="s">
        <v>400</v>
      </c>
      <c r="G5" s="53" t="s">
        <v>262</v>
      </c>
      <c r="H5" s="53" t="s">
        <v>246</v>
      </c>
    </row>
    <row r="6" spans="1:8">
      <c r="A6" s="14" t="s">
        <v>423</v>
      </c>
      <c r="B6" s="14" t="s">
        <v>451</v>
      </c>
      <c r="E6" s="43" t="s">
        <v>426</v>
      </c>
      <c r="F6" s="44" t="s">
        <v>401</v>
      </c>
      <c r="G6" s="53" t="s">
        <v>264</v>
      </c>
      <c r="H6" s="53" t="s">
        <v>247</v>
      </c>
    </row>
    <row r="7" spans="1:8">
      <c r="E7" s="54" t="s">
        <v>425</v>
      </c>
      <c r="F7" s="55" t="s">
        <v>400</v>
      </c>
      <c r="G7" s="56" t="s">
        <v>266</v>
      </c>
      <c r="H7" s="56" t="s">
        <v>249</v>
      </c>
    </row>
    <row r="8" spans="1:8">
      <c r="E8" s="54" t="s">
        <v>425</v>
      </c>
      <c r="F8" s="55" t="s">
        <v>401</v>
      </c>
      <c r="G8" s="56" t="s">
        <v>268</v>
      </c>
      <c r="H8" s="56" t="s">
        <v>251</v>
      </c>
    </row>
    <row r="9" spans="1:8">
      <c r="E9" s="57" t="s">
        <v>424</v>
      </c>
      <c r="F9" s="58" t="s">
        <v>400</v>
      </c>
      <c r="G9" s="59" t="s">
        <v>270</v>
      </c>
      <c r="H9" s="59" t="s">
        <v>253</v>
      </c>
    </row>
    <row r="10" spans="1:8">
      <c r="E10" s="60" t="s">
        <v>424</v>
      </c>
      <c r="F10" s="61" t="s">
        <v>401</v>
      </c>
      <c r="G10" s="59" t="s">
        <v>272</v>
      </c>
      <c r="H10" s="59" t="s">
        <v>255</v>
      </c>
    </row>
    <row r="11" spans="1:8">
      <c r="E11" s="62" t="s">
        <v>424</v>
      </c>
      <c r="F11" s="63" t="s">
        <v>461</v>
      </c>
      <c r="G11" s="59" t="s">
        <v>274</v>
      </c>
      <c r="H11" s="59" t="s">
        <v>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9581-E11D-4C21-BD36-CC3ED932E34E}">
  <dimension ref="A1:H11"/>
  <sheetViews>
    <sheetView workbookViewId="0">
      <selection activeCell="E1" sqref="E1:H11"/>
    </sheetView>
  </sheetViews>
  <sheetFormatPr defaultRowHeight="14.4"/>
  <cols>
    <col min="1" max="1" width="12.6640625" customWidth="1"/>
    <col min="2" max="2" width="12.5546875" customWidth="1"/>
    <col min="5" max="5" width="15.88671875" customWidth="1"/>
    <col min="6" max="6" width="12" customWidth="1"/>
    <col min="7" max="7" width="13.109375" customWidth="1"/>
    <col min="8" max="8" width="20" customWidth="1"/>
  </cols>
  <sheetData>
    <row r="1" spans="1:8">
      <c r="A1" s="1" t="s">
        <v>0</v>
      </c>
      <c r="B1" s="1" t="s">
        <v>380</v>
      </c>
      <c r="E1" s="1" t="s">
        <v>0</v>
      </c>
      <c r="F1" s="1" t="s">
        <v>437</v>
      </c>
      <c r="G1" s="1" t="s">
        <v>438</v>
      </c>
      <c r="H1" s="1" t="s">
        <v>439</v>
      </c>
    </row>
    <row r="2" spans="1:8">
      <c r="A2" s="14" t="s">
        <v>427</v>
      </c>
      <c r="B2" s="14" t="s">
        <v>367</v>
      </c>
      <c r="E2" s="33" t="s">
        <v>427</v>
      </c>
      <c r="F2" s="70" t="s">
        <v>400</v>
      </c>
      <c r="G2" s="64" t="s">
        <v>279</v>
      </c>
      <c r="H2" s="64" t="s">
        <v>277</v>
      </c>
    </row>
    <row r="3" spans="1:8" ht="15" thickBot="1">
      <c r="A3" s="14" t="s">
        <v>428</v>
      </c>
      <c r="B3" s="14" t="s">
        <v>452</v>
      </c>
      <c r="E3" s="36" t="s">
        <v>427</v>
      </c>
      <c r="F3" s="71" t="s">
        <v>401</v>
      </c>
      <c r="G3" s="78" t="s">
        <v>286</v>
      </c>
      <c r="H3" s="78" t="s">
        <v>283</v>
      </c>
    </row>
    <row r="4" spans="1:8">
      <c r="A4" s="14" t="s">
        <v>429</v>
      </c>
      <c r="B4" s="14" t="s">
        <v>453</v>
      </c>
      <c r="E4" s="80" t="s">
        <v>428</v>
      </c>
      <c r="F4" s="81" t="s">
        <v>400</v>
      </c>
      <c r="G4" s="79" t="s">
        <v>288</v>
      </c>
      <c r="H4" s="17" t="s">
        <v>284</v>
      </c>
    </row>
    <row r="5" spans="1:8">
      <c r="A5" s="14" t="s">
        <v>430</v>
      </c>
      <c r="B5" s="14" t="s">
        <v>454</v>
      </c>
      <c r="E5" s="82" t="s">
        <v>428</v>
      </c>
      <c r="F5" s="83" t="s">
        <v>401</v>
      </c>
      <c r="G5" s="79" t="s">
        <v>290</v>
      </c>
      <c r="H5" s="17" t="s">
        <v>285</v>
      </c>
    </row>
    <row r="6" spans="1:8" ht="15" thickBot="1">
      <c r="A6" s="14" t="s">
        <v>431</v>
      </c>
      <c r="B6" s="14" t="s">
        <v>455</v>
      </c>
      <c r="E6" s="84" t="s">
        <v>428</v>
      </c>
      <c r="F6" s="85" t="s">
        <v>461</v>
      </c>
      <c r="G6" s="79" t="s">
        <v>294</v>
      </c>
      <c r="H6" s="17" t="s">
        <v>293</v>
      </c>
    </row>
    <row r="7" spans="1:8">
      <c r="E7" s="67" t="s">
        <v>429</v>
      </c>
      <c r="F7" s="75" t="s">
        <v>400</v>
      </c>
      <c r="G7" s="68" t="s">
        <v>306</v>
      </c>
      <c r="H7" s="68" t="s">
        <v>297</v>
      </c>
    </row>
    <row r="8" spans="1:8">
      <c r="E8" s="67" t="s">
        <v>429</v>
      </c>
      <c r="F8" s="75" t="s">
        <v>401</v>
      </c>
      <c r="G8" s="68" t="s">
        <v>308</v>
      </c>
      <c r="H8" s="68" t="s">
        <v>299</v>
      </c>
    </row>
    <row r="9" spans="1:8">
      <c r="E9" s="76" t="s">
        <v>429</v>
      </c>
      <c r="F9" s="77" t="s">
        <v>461</v>
      </c>
      <c r="G9" s="68" t="s">
        <v>310</v>
      </c>
      <c r="H9" s="68" t="s">
        <v>301</v>
      </c>
    </row>
    <row r="10" spans="1:8">
      <c r="E10" s="48" t="s">
        <v>424</v>
      </c>
      <c r="F10" s="49" t="s">
        <v>400</v>
      </c>
      <c r="G10" s="69" t="s">
        <v>312</v>
      </c>
      <c r="H10" s="69" t="s">
        <v>303</v>
      </c>
    </row>
    <row r="11" spans="1:8">
      <c r="E11" s="50" t="s">
        <v>424</v>
      </c>
      <c r="F11" s="51" t="s">
        <v>401</v>
      </c>
      <c r="G11" s="69" t="s">
        <v>314</v>
      </c>
      <c r="H11" s="69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7C7D-4AA1-47F8-ABFC-CE1BDF8A9B77}">
  <dimension ref="A1:H11"/>
  <sheetViews>
    <sheetView workbookViewId="0">
      <selection activeCell="L13" sqref="L13"/>
    </sheetView>
  </sheetViews>
  <sheetFormatPr defaultRowHeight="14.4"/>
  <cols>
    <col min="1" max="1" width="15.109375" customWidth="1"/>
    <col min="2" max="2" width="12.33203125" customWidth="1"/>
    <col min="4" max="4" width="9.5546875" customWidth="1"/>
    <col min="5" max="5" width="13.6640625" customWidth="1"/>
    <col min="6" max="6" width="15.6640625" customWidth="1"/>
    <col min="7" max="7" width="14.6640625" customWidth="1"/>
    <col min="8" max="8" width="17.5546875" customWidth="1"/>
  </cols>
  <sheetData>
    <row r="1" spans="1:8">
      <c r="A1" s="1" t="s">
        <v>0</v>
      </c>
      <c r="B1" s="1" t="s">
        <v>380</v>
      </c>
      <c r="E1" s="1" t="s">
        <v>0</v>
      </c>
      <c r="F1" s="1" t="s">
        <v>437</v>
      </c>
      <c r="G1" s="1" t="s">
        <v>438</v>
      </c>
      <c r="H1" s="1" t="s">
        <v>439</v>
      </c>
    </row>
    <row r="2" spans="1:8">
      <c r="A2" s="14" t="s">
        <v>432</v>
      </c>
      <c r="B2" s="14" t="s">
        <v>329</v>
      </c>
      <c r="E2" s="33" t="s">
        <v>432</v>
      </c>
      <c r="F2" s="70" t="s">
        <v>400</v>
      </c>
      <c r="G2" s="86" t="s">
        <v>158</v>
      </c>
      <c r="H2" s="86" t="s">
        <v>157</v>
      </c>
    </row>
    <row r="3" spans="1:8">
      <c r="A3" s="14" t="s">
        <v>433</v>
      </c>
      <c r="B3" s="14" t="s">
        <v>456</v>
      </c>
      <c r="E3" s="36" t="s">
        <v>432</v>
      </c>
      <c r="F3" s="71" t="s">
        <v>401</v>
      </c>
      <c r="G3" s="86" t="s">
        <v>162</v>
      </c>
      <c r="H3" s="86" t="s">
        <v>161</v>
      </c>
    </row>
    <row r="4" spans="1:8">
      <c r="A4" s="14" t="s">
        <v>434</v>
      </c>
      <c r="B4" s="14" t="s">
        <v>457</v>
      </c>
      <c r="E4" s="38" t="s">
        <v>432</v>
      </c>
      <c r="F4" s="72" t="s">
        <v>461</v>
      </c>
      <c r="G4" s="86" t="s">
        <v>166</v>
      </c>
      <c r="H4" s="86" t="s">
        <v>165</v>
      </c>
    </row>
    <row r="5" spans="1:8">
      <c r="A5" s="14" t="s">
        <v>435</v>
      </c>
      <c r="B5" s="14" t="s">
        <v>458</v>
      </c>
      <c r="E5" s="65" t="s">
        <v>433</v>
      </c>
      <c r="F5" s="87" t="s">
        <v>400</v>
      </c>
      <c r="G5" s="88" t="s">
        <v>182</v>
      </c>
      <c r="H5" s="88" t="s">
        <v>175</v>
      </c>
    </row>
    <row r="6" spans="1:8">
      <c r="A6" s="14" t="s">
        <v>436</v>
      </c>
      <c r="B6" s="14" t="s">
        <v>459</v>
      </c>
      <c r="E6" s="66" t="s">
        <v>433</v>
      </c>
      <c r="F6" s="89" t="s">
        <v>401</v>
      </c>
      <c r="G6" s="88" t="s">
        <v>184</v>
      </c>
      <c r="H6" s="88" t="s">
        <v>176</v>
      </c>
    </row>
    <row r="7" spans="1:8">
      <c r="E7" s="73" t="s">
        <v>434</v>
      </c>
      <c r="F7" s="74" t="s">
        <v>400</v>
      </c>
      <c r="G7" s="90" t="s">
        <v>186</v>
      </c>
      <c r="H7" s="90" t="s">
        <v>177</v>
      </c>
    </row>
    <row r="8" spans="1:8">
      <c r="E8" s="67" t="s">
        <v>434</v>
      </c>
      <c r="F8" s="75" t="s">
        <v>401</v>
      </c>
      <c r="G8" s="90" t="s">
        <v>188</v>
      </c>
      <c r="H8" s="90" t="s">
        <v>178</v>
      </c>
    </row>
    <row r="9" spans="1:8">
      <c r="E9" s="76" t="s">
        <v>434</v>
      </c>
      <c r="F9" s="77" t="s">
        <v>461</v>
      </c>
      <c r="G9" s="90" t="s">
        <v>190</v>
      </c>
      <c r="H9" s="90" t="s">
        <v>197</v>
      </c>
    </row>
    <row r="10" spans="1:8">
      <c r="E10" s="91" t="s">
        <v>435</v>
      </c>
      <c r="F10" s="92" t="s">
        <v>400</v>
      </c>
      <c r="G10" s="93" t="s">
        <v>192</v>
      </c>
      <c r="H10" s="93" t="s">
        <v>179</v>
      </c>
    </row>
    <row r="11" spans="1:8">
      <c r="E11" s="94" t="s">
        <v>435</v>
      </c>
      <c r="F11" s="95" t="s">
        <v>401</v>
      </c>
      <c r="G11" s="93" t="s">
        <v>194</v>
      </c>
      <c r="H11" s="93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D1BD-DE1F-48AE-B715-1E6FA65BA4CB}">
  <dimension ref="A1:H11"/>
  <sheetViews>
    <sheetView workbookViewId="0">
      <selection activeCell="N9" sqref="N9"/>
    </sheetView>
  </sheetViews>
  <sheetFormatPr defaultRowHeight="14.4"/>
  <cols>
    <col min="1" max="1" width="13.5546875" customWidth="1"/>
    <col min="2" max="2" width="11.6640625" customWidth="1"/>
    <col min="5" max="5" width="15.21875" customWidth="1"/>
    <col min="6" max="6" width="14.44140625" customWidth="1"/>
    <col min="7" max="7" width="14" customWidth="1"/>
    <col min="8" max="8" width="13.33203125" customWidth="1"/>
  </cols>
  <sheetData>
    <row r="1" spans="1:8">
      <c r="A1" s="1" t="s">
        <v>0</v>
      </c>
      <c r="B1" s="1" t="s">
        <v>380</v>
      </c>
      <c r="E1" s="1" t="s">
        <v>0</v>
      </c>
      <c r="F1" s="1" t="s">
        <v>437</v>
      </c>
      <c r="G1" s="1" t="s">
        <v>438</v>
      </c>
      <c r="H1" s="1" t="s">
        <v>439</v>
      </c>
    </row>
    <row r="2" spans="1:8">
      <c r="A2" s="14" t="s">
        <v>440</v>
      </c>
      <c r="B2" s="14" t="s">
        <v>333</v>
      </c>
      <c r="E2" s="33" t="s">
        <v>440</v>
      </c>
      <c r="F2" s="70" t="s">
        <v>400</v>
      </c>
      <c r="G2" s="96" t="s">
        <v>198</v>
      </c>
      <c r="H2" s="96" t="s">
        <v>181</v>
      </c>
    </row>
    <row r="3" spans="1:8" ht="15" thickBot="1">
      <c r="A3" s="14" t="s">
        <v>441</v>
      </c>
      <c r="B3" s="14" t="s">
        <v>381</v>
      </c>
      <c r="E3" s="36" t="s">
        <v>440</v>
      </c>
      <c r="F3" s="71" t="s">
        <v>401</v>
      </c>
      <c r="G3" s="96" t="s">
        <v>218</v>
      </c>
      <c r="H3" s="96" t="s">
        <v>201</v>
      </c>
    </row>
    <row r="4" spans="1:8">
      <c r="A4" s="14" t="s">
        <v>442</v>
      </c>
      <c r="B4" s="14" t="s">
        <v>382</v>
      </c>
      <c r="E4" s="97" t="s">
        <v>441</v>
      </c>
      <c r="F4" s="98" t="s">
        <v>400</v>
      </c>
      <c r="G4" s="99" t="s">
        <v>220</v>
      </c>
      <c r="H4" s="99" t="s">
        <v>203</v>
      </c>
    </row>
    <row r="5" spans="1:8">
      <c r="A5" s="14" t="s">
        <v>443</v>
      </c>
      <c r="B5" s="14" t="s">
        <v>383</v>
      </c>
      <c r="E5" s="100" t="s">
        <v>441</v>
      </c>
      <c r="F5" s="101" t="s">
        <v>401</v>
      </c>
      <c r="G5" s="99" t="s">
        <v>222</v>
      </c>
      <c r="H5" s="99" t="s">
        <v>205</v>
      </c>
    </row>
    <row r="6" spans="1:8" ht="15" thickBot="1">
      <c r="A6" s="14" t="s">
        <v>444</v>
      </c>
      <c r="B6" s="14" t="s">
        <v>460</v>
      </c>
      <c r="E6" s="102" t="s">
        <v>441</v>
      </c>
      <c r="F6" s="103" t="s">
        <v>461</v>
      </c>
      <c r="G6" s="99" t="s">
        <v>224</v>
      </c>
      <c r="H6" s="99" t="s">
        <v>207</v>
      </c>
    </row>
    <row r="7" spans="1:8">
      <c r="E7" s="67" t="s">
        <v>442</v>
      </c>
      <c r="F7" s="75" t="s">
        <v>400</v>
      </c>
      <c r="G7" s="104" t="s">
        <v>226</v>
      </c>
      <c r="H7" s="104" t="s">
        <v>209</v>
      </c>
    </row>
    <row r="8" spans="1:8">
      <c r="E8" s="67" t="s">
        <v>442</v>
      </c>
      <c r="F8" s="75" t="s">
        <v>401</v>
      </c>
      <c r="G8" s="104" t="s">
        <v>228</v>
      </c>
      <c r="H8" s="104" t="s">
        <v>211</v>
      </c>
    </row>
    <row r="9" spans="1:8">
      <c r="E9" s="76" t="s">
        <v>442</v>
      </c>
      <c r="F9" s="77" t="s">
        <v>461</v>
      </c>
      <c r="G9" s="104" t="s">
        <v>230</v>
      </c>
      <c r="H9" s="104" t="s">
        <v>213</v>
      </c>
    </row>
    <row r="10" spans="1:8">
      <c r="E10" s="105" t="s">
        <v>443</v>
      </c>
      <c r="F10" s="106" t="s">
        <v>400</v>
      </c>
      <c r="G10" s="107" t="s">
        <v>232</v>
      </c>
      <c r="H10" s="107" t="s">
        <v>215</v>
      </c>
    </row>
    <row r="11" spans="1:8">
      <c r="E11" s="108" t="s">
        <v>443</v>
      </c>
      <c r="F11" s="109" t="s">
        <v>401</v>
      </c>
      <c r="G11" s="107" t="s">
        <v>234</v>
      </c>
      <c r="H11" s="107" t="s">
        <v>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E42E-9E05-4EBE-9C7B-750D6C423567}">
  <dimension ref="A1:D7"/>
  <sheetViews>
    <sheetView workbookViewId="0">
      <selection activeCell="J7" sqref="J7"/>
    </sheetView>
  </sheetViews>
  <sheetFormatPr defaultRowHeight="14.4"/>
  <cols>
    <col min="1" max="1" width="17" customWidth="1"/>
    <col min="2" max="2" width="18.6640625" customWidth="1"/>
    <col min="3" max="3" width="17.109375" customWidth="1"/>
    <col min="4" max="4" width="17.6640625" customWidth="1"/>
  </cols>
  <sheetData>
    <row r="1" spans="1:4">
      <c r="A1" s="112" t="s">
        <v>462</v>
      </c>
      <c r="B1" s="112" t="s">
        <v>463</v>
      </c>
      <c r="C1" s="112" t="s">
        <v>464</v>
      </c>
      <c r="D1" s="112" t="s">
        <v>465</v>
      </c>
    </row>
    <row r="2" spans="1:4">
      <c r="A2" s="111" t="s">
        <v>357</v>
      </c>
      <c r="B2" s="111">
        <v>8</v>
      </c>
      <c r="C2" s="111">
        <v>14</v>
      </c>
      <c r="D2" s="111">
        <v>6</v>
      </c>
    </row>
    <row r="3" spans="1:4">
      <c r="A3" s="111" t="s">
        <v>358</v>
      </c>
      <c r="B3" s="111">
        <v>4</v>
      </c>
      <c r="C3" s="111">
        <v>8</v>
      </c>
      <c r="D3" s="111">
        <v>2</v>
      </c>
    </row>
    <row r="4" spans="1:4">
      <c r="A4" s="111" t="s">
        <v>361</v>
      </c>
      <c r="B4" s="111">
        <v>4</v>
      </c>
      <c r="C4" s="111">
        <v>8</v>
      </c>
      <c r="D4" s="111">
        <v>2</v>
      </c>
    </row>
    <row r="5" spans="1:4">
      <c r="A5" s="111" t="s">
        <v>360</v>
      </c>
      <c r="B5" s="111">
        <v>4</v>
      </c>
      <c r="C5" s="111">
        <v>8</v>
      </c>
      <c r="D5" s="111">
        <v>2</v>
      </c>
    </row>
    <row r="6" spans="1:4">
      <c r="A6" s="111" t="s">
        <v>359</v>
      </c>
      <c r="B6" s="111">
        <v>4</v>
      </c>
      <c r="C6" s="111">
        <v>8</v>
      </c>
      <c r="D6" s="111">
        <v>2</v>
      </c>
    </row>
    <row r="7" spans="1:4">
      <c r="A7" s="111" t="s">
        <v>362</v>
      </c>
      <c r="B7" s="111">
        <v>4</v>
      </c>
      <c r="C7" s="111">
        <v>8</v>
      </c>
      <c r="D7" s="11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VLSM</vt:lpstr>
      <vt:lpstr>Sheet4</vt:lpstr>
      <vt:lpstr>Endereços privados</vt:lpstr>
      <vt:lpstr>Administração</vt:lpstr>
      <vt:lpstr>Sheet1</vt:lpstr>
      <vt:lpstr>Fabricação</vt:lpstr>
      <vt:lpstr>Sheet3</vt:lpstr>
      <vt:lpstr>Laboratório</vt:lpstr>
      <vt:lpstr>Expedição</vt:lpstr>
      <vt:lpstr>Consumíveis</vt:lpstr>
      <vt:lpstr>Resíduos</vt:lpstr>
      <vt:lpstr>Filiais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Antunes</dc:creator>
  <cp:lastModifiedBy>Diogo</cp:lastModifiedBy>
  <dcterms:created xsi:type="dcterms:W3CDTF">2022-06-16T18:14:21Z</dcterms:created>
  <dcterms:modified xsi:type="dcterms:W3CDTF">2022-06-26T22:41:18Z</dcterms:modified>
</cp:coreProperties>
</file>